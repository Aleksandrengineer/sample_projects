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piridonov\Desktop\performance study\"/>
    </mc:Choice>
  </mc:AlternateContent>
  <xr:revisionPtr revIDLastSave="0" documentId="13_ncr:1_{5A2D318D-DAE7-461D-A065-E1256BBADBF5}" xr6:coauthVersionLast="36" xr6:coauthVersionMax="36" xr10:uidLastSave="{00000000-0000-0000-0000-000000000000}"/>
  <bookViews>
    <workbookView xWindow="-120" yWindow="-120" windowWidth="29040" windowHeight="15840" tabRatio="764" xr2:uid="{00000000-000D-0000-FFFF-FFFF00000000}"/>
  </bookViews>
  <sheets>
    <sheet name="395" sheetId="18" r:id="rId1"/>
  </sheets>
  <externalReferences>
    <externalReference r:id="rId2"/>
    <externalReference r:id="rId3"/>
  </externalReferences>
  <definedNames>
    <definedName name="DATE_" localSheetId="0">OFFSET([1]Data1!$C$1,IF(ISERROR(MATCH(#REF!,[1]Data1!$C:$C)),14,MATCH(#REF!,[1]Data1!$C:$C)),0,COUNTIFS([1]Data1!$C:$C,"&gt;="&amp;#REF!,[1]Data1!$C:$C,"&lt;"&amp;#REF!),1)</definedName>
    <definedName name="DATE_">OFFSET([1]Data1!$C$1,IF(ISERROR(MATCH(#REF!,[1]Data1!$C:$C)),14,MATCH(#REF!,[1]Data1!$C:$C)),0,COUNTIFS([1]Data1!$C:$C,"&gt;="&amp;#REF!,[1]Data1!$C:$C,"&lt;"&amp;#REF!),1)</definedName>
    <definedName name="Hoi">"図 37"</definedName>
    <definedName name="Hourly_Rate_cum">OFFSET(INDEX([2]Detail!$1:$1048576,MATCH("R&amp;M Total",[2]Detail!$A:$A,0)+2,MATCH("OV Times",[2]Detail!$1:$1,0)+1),0,0,1,COUNTA([2]Detail!$1:$1)-9)</definedName>
    <definedName name="Hourly_Rate_period">OFFSET(INDEX([2]Detail!$1:$1048576,MATCH("R&amp;M Total",[2]Detail!$A:$A,0)+1,MATCH("OV Times",[2]Detail!$1:$1,0)+1),0,0,1,COUNTA([2]Detail!$1:$1)-9)</definedName>
    <definedName name="KIJUN4_" localSheetId="0">OFFSET([1]Data1!$AL$1,IF(ISERROR(MATCH(#REF!,[1]Data1!$C:$C)),14,MATCH(#REF!,[1]Data1!$C:$C)),0,COUNTIFS([1]Data1!$C:$C,"&gt;="&amp;#REF!,[1]Data1!$C:$C,"&lt;"&amp;#REF!),1)</definedName>
    <definedName name="KIJUN4_">OFFSET([1]Data1!$AL$1,IF(ISERROR(MATCH(#REF!,[1]Data1!$C:$C)),14,MATCH(#REF!,[1]Data1!$C:$C)),0,COUNTIFS([1]Data1!$C:$C,"&gt;="&amp;#REF!,[1]Data1!$C:$C,"&lt;"&amp;#REF!),1)</definedName>
    <definedName name="Prop_eqp">OFFSET('[2]Input DATA'!$I$7,0,0,1,COUNTA([2]Detail!$1:$1)-9)</definedName>
    <definedName name="Prop_fuel">OFFSET('[2]Input DATA'!$I$4,0,0,1,COUNTA([2]Detail!$1:$1)-9)</definedName>
    <definedName name="Prop_Oper">OFFSET('[2]Input DATA'!$I$3,0,0,1,COUNTA([2]Detail!$1:$1)-9)</definedName>
    <definedName name="Prop_RM">OFFSET('[2]Input DATA'!$I$6,0,0,1,COUNTA([2]Detail!$1:$1)-9)</definedName>
    <definedName name="Prop_wheel">OFFSET('[2]Input DATA'!$I$5,0,0,1,COUNTA([2]Detail!$1:$1)-9)</definedName>
    <definedName name="Sum_eqp">OFFSET('[2]Input DATA'!$I$14,0,0,1,COUNTA([2]Detail!$1:$1)-9)</definedName>
    <definedName name="Sum_fuel">OFFSET('[2]Input DATA'!$I$17,0,0,1,COUNTA([2]Detail!$1:$1)-9)</definedName>
    <definedName name="Sum_Oper">OFFSET('[2]Input DATA'!$I$16,0,0,1,COUNTA([2]Detail!$1:$1)-9)</definedName>
    <definedName name="Sum_RM">OFFSET('[2]Input DATA'!$I$18,0,0,1,COUNTA([2]Detail!$1:$1)-9)</definedName>
    <definedName name="Sum_wheel">OFFSET('[2]Input DATA'!$I$15,0,0,1,COUNTA([2]Detail!$1:$1)-9)</definedName>
    <definedName name="Zatraty">OFFSET('[2]Input DATA'!$I$18,0,0,1,COUNTA([2]Detail!$1:$1)-9)</definedName>
    <definedName name="_xlnm.Print_Area" localSheetId="0">'395'!$A$1:$P$707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02" i="18" l="1"/>
  <c r="W15" i="18" l="1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W547" i="18"/>
  <c r="W548" i="18"/>
  <c r="W549" i="18"/>
  <c r="W550" i="18"/>
  <c r="W551" i="18"/>
  <c r="W552" i="18"/>
  <c r="W553" i="18"/>
  <c r="W554" i="18"/>
  <c r="W555" i="18"/>
  <c r="W556" i="18"/>
  <c r="W557" i="18"/>
  <c r="W558" i="18"/>
  <c r="W559" i="18"/>
  <c r="W560" i="18"/>
  <c r="W561" i="18"/>
  <c r="W562" i="18"/>
  <c r="W563" i="18"/>
  <c r="W564" i="18"/>
  <c r="W565" i="18"/>
  <c r="W566" i="18"/>
  <c r="W567" i="18"/>
  <c r="W568" i="18"/>
  <c r="W569" i="18"/>
  <c r="W570" i="18"/>
  <c r="W571" i="18"/>
  <c r="W572" i="18"/>
  <c r="W573" i="18"/>
  <c r="W574" i="18"/>
  <c r="W575" i="18"/>
  <c r="W576" i="18"/>
  <c r="W577" i="18"/>
  <c r="W578" i="18"/>
  <c r="W579" i="18"/>
  <c r="W580" i="18"/>
  <c r="W581" i="18"/>
  <c r="W582" i="18"/>
  <c r="W583" i="18"/>
  <c r="W584" i="18"/>
  <c r="W585" i="18"/>
  <c r="W586" i="18"/>
  <c r="W587" i="18"/>
  <c r="W588" i="18"/>
  <c r="W589" i="18"/>
  <c r="W590" i="18"/>
  <c r="W591" i="18"/>
  <c r="W592" i="18"/>
  <c r="W593" i="18"/>
  <c r="W594" i="18"/>
  <c r="W595" i="18"/>
  <c r="W596" i="18"/>
  <c r="W597" i="18"/>
  <c r="W598" i="18"/>
  <c r="W599" i="18"/>
  <c r="W600" i="18"/>
  <c r="W601" i="18"/>
  <c r="W602" i="18"/>
  <c r="W603" i="18"/>
  <c r="W604" i="18"/>
  <c r="W605" i="18"/>
  <c r="W606" i="18"/>
  <c r="W607" i="18"/>
  <c r="W608" i="18"/>
  <c r="W609" i="18"/>
  <c r="W610" i="18"/>
  <c r="W611" i="18"/>
  <c r="W612" i="18"/>
  <c r="W613" i="18"/>
  <c r="W614" i="18"/>
  <c r="W615" i="18"/>
  <c r="W616" i="18"/>
  <c r="W617" i="18"/>
  <c r="W618" i="18"/>
  <c r="W619" i="18"/>
  <c r="W620" i="18"/>
  <c r="W621" i="18"/>
  <c r="W622" i="18"/>
  <c r="W623" i="18"/>
  <c r="W624" i="18"/>
  <c r="W625" i="18"/>
  <c r="W626" i="18"/>
  <c r="W627" i="18"/>
  <c r="W628" i="18"/>
  <c r="W629" i="18"/>
  <c r="W630" i="18"/>
  <c r="W631" i="18"/>
  <c r="W632" i="18"/>
  <c r="W633" i="18"/>
  <c r="W634" i="18"/>
  <c r="W635" i="18"/>
  <c r="W636" i="18"/>
  <c r="W637" i="18"/>
  <c r="W638" i="18"/>
  <c r="W639" i="18"/>
  <c r="W640" i="18"/>
  <c r="W641" i="18"/>
  <c r="W642" i="18"/>
  <c r="W643" i="18"/>
  <c r="W644" i="18"/>
  <c r="W645" i="18"/>
  <c r="W646" i="18"/>
  <c r="W647" i="18"/>
  <c r="W648" i="18"/>
  <c r="W649" i="18"/>
  <c r="W650" i="18"/>
  <c r="W651" i="18"/>
  <c r="W652" i="18"/>
  <c r="W653" i="18"/>
  <c r="W654" i="18"/>
  <c r="W655" i="18"/>
  <c r="W656" i="18"/>
  <c r="W657" i="18"/>
  <c r="W658" i="18"/>
  <c r="W659" i="18"/>
  <c r="W660" i="18"/>
  <c r="W661" i="18"/>
  <c r="W662" i="18"/>
  <c r="W663" i="18"/>
  <c r="W664" i="18"/>
  <c r="W665" i="18"/>
  <c r="W666" i="18"/>
  <c r="W667" i="18"/>
  <c r="W668" i="18"/>
  <c r="W669" i="18"/>
  <c r="W670" i="18"/>
  <c r="W671" i="18"/>
  <c r="W672" i="18"/>
  <c r="W673" i="18"/>
  <c r="W674" i="18"/>
  <c r="W675" i="18"/>
  <c r="W676" i="18"/>
  <c r="W677" i="18"/>
  <c r="W678" i="18"/>
  <c r="W679" i="18"/>
  <c r="W680" i="18"/>
  <c r="W681" i="18"/>
  <c r="W682" i="18"/>
  <c r="W683" i="18"/>
  <c r="W684" i="18"/>
  <c r="W685" i="18"/>
  <c r="W686" i="18"/>
  <c r="W687" i="18"/>
  <c r="W688" i="18"/>
  <c r="W689" i="18"/>
  <c r="W690" i="18"/>
  <c r="W691" i="18"/>
  <c r="W692" i="18"/>
  <c r="W693" i="18"/>
  <c r="W694" i="18"/>
  <c r="W695" i="18"/>
  <c r="W696" i="18"/>
  <c r="W697" i="18"/>
  <c r="W698" i="18"/>
  <c r="W699" i="18"/>
  <c r="W700" i="18"/>
  <c r="W701" i="18"/>
  <c r="W703" i="18"/>
  <c r="W704" i="18"/>
  <c r="W705" i="18"/>
  <c r="W706" i="18"/>
  <c r="W707" i="18"/>
  <c r="W181" i="18"/>
  <c r="I7" i="18" l="1"/>
  <c r="J7" i="18"/>
  <c r="K7" i="18"/>
  <c r="L7" i="18"/>
  <c r="M7" i="18"/>
  <c r="N7" i="18"/>
  <c r="O7" i="18"/>
  <c r="P7" i="18"/>
  <c r="H7" i="18"/>
  <c r="V17" i="18" l="1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W702" i="18" s="1"/>
  <c r="V703" i="18"/>
  <c r="V704" i="18"/>
  <c r="V705" i="18"/>
  <c r="V706" i="18"/>
  <c r="V707" i="18"/>
  <c r="V16" i="18"/>
  <c r="R16" i="18" l="1"/>
  <c r="S161" i="18"/>
  <c r="S162" i="18"/>
  <c r="S163" i="18"/>
  <c r="S164" i="18"/>
  <c r="S165" i="18"/>
  <c r="S166" i="18"/>
  <c r="S167" i="18"/>
  <c r="S168" i="18"/>
  <c r="S169" i="18"/>
  <c r="S170" i="18"/>
  <c r="S171" i="18"/>
  <c r="S172" i="18"/>
  <c r="S173" i="18"/>
  <c r="S174" i="18"/>
  <c r="S175" i="18"/>
  <c r="S176" i="18"/>
  <c r="S177" i="18"/>
  <c r="S178" i="18"/>
  <c r="S179" i="18"/>
  <c r="S180" i="18"/>
  <c r="S181" i="18"/>
  <c r="S182" i="18"/>
  <c r="S183" i="18"/>
  <c r="S184" i="18"/>
  <c r="S185" i="18"/>
  <c r="S186" i="18"/>
  <c r="S187" i="18"/>
  <c r="S188" i="18"/>
  <c r="S189" i="18"/>
  <c r="S190" i="18"/>
  <c r="S191" i="18"/>
  <c r="S192" i="18"/>
  <c r="S193" i="18"/>
  <c r="S194" i="18"/>
  <c r="S195" i="18"/>
  <c r="S196" i="18"/>
  <c r="S197" i="18"/>
  <c r="S198" i="18"/>
  <c r="S199" i="18"/>
  <c r="S200" i="18"/>
  <c r="S201" i="18"/>
  <c r="S202" i="18"/>
  <c r="S203" i="18"/>
  <c r="S204" i="18"/>
  <c r="S205" i="18"/>
  <c r="S206" i="18"/>
  <c r="S207" i="18"/>
  <c r="S208" i="18"/>
  <c r="S209" i="18"/>
  <c r="S210" i="18"/>
  <c r="S211" i="18"/>
  <c r="S212" i="18"/>
  <c r="S213" i="18"/>
  <c r="S214" i="18"/>
  <c r="S215" i="18"/>
  <c r="S216" i="18"/>
  <c r="S217" i="18"/>
  <c r="S218" i="18"/>
  <c r="S219" i="18"/>
  <c r="S220" i="18"/>
  <c r="S221" i="18"/>
  <c r="S222" i="18"/>
  <c r="S223" i="18"/>
  <c r="S224" i="18"/>
  <c r="S225" i="18"/>
  <c r="S226" i="18"/>
  <c r="S227" i="18"/>
  <c r="S228" i="18"/>
  <c r="S229" i="18"/>
  <c r="S230" i="18"/>
  <c r="S231" i="18"/>
  <c r="S232" i="18"/>
  <c r="S233" i="18"/>
  <c r="S234" i="18"/>
  <c r="S235" i="18"/>
  <c r="S236" i="18"/>
  <c r="S237" i="18"/>
  <c r="S238" i="18"/>
  <c r="S239" i="18"/>
  <c r="S240" i="18"/>
  <c r="S241" i="18"/>
  <c r="S242" i="18"/>
  <c r="S243" i="18"/>
  <c r="S244" i="18"/>
  <c r="S245" i="18"/>
  <c r="S246" i="18"/>
  <c r="S247" i="18"/>
  <c r="S248" i="18"/>
  <c r="S249" i="18"/>
  <c r="S250" i="18"/>
  <c r="S251" i="18"/>
  <c r="S252" i="18"/>
  <c r="S253" i="18"/>
  <c r="S254" i="18"/>
  <c r="S255" i="18"/>
  <c r="S256" i="18"/>
  <c r="S257" i="18"/>
  <c r="S258" i="18"/>
  <c r="S259" i="18"/>
  <c r="S260" i="18"/>
  <c r="S261" i="18"/>
  <c r="S262" i="18"/>
  <c r="S263" i="18"/>
  <c r="S264" i="18"/>
  <c r="S265" i="18"/>
  <c r="S266" i="18"/>
  <c r="S267" i="18"/>
  <c r="S268" i="18"/>
  <c r="S269" i="18"/>
  <c r="S270" i="18"/>
  <c r="S271" i="18"/>
  <c r="S272" i="18"/>
  <c r="S273" i="18"/>
  <c r="S274" i="18"/>
  <c r="S275" i="18"/>
  <c r="S276" i="18"/>
  <c r="S277" i="18"/>
  <c r="S278" i="18"/>
  <c r="S279" i="18"/>
  <c r="S280" i="18"/>
  <c r="S281" i="18"/>
  <c r="S282" i="18"/>
  <c r="S283" i="18"/>
  <c r="S284" i="18"/>
  <c r="S285" i="18"/>
  <c r="S286" i="18"/>
  <c r="S287" i="18"/>
  <c r="S288" i="18"/>
  <c r="S289" i="18"/>
  <c r="S290" i="18"/>
  <c r="S291" i="18"/>
  <c r="S292" i="18"/>
  <c r="S293" i="18"/>
  <c r="S294" i="18"/>
  <c r="S295" i="18"/>
  <c r="S296" i="18"/>
  <c r="S297" i="18"/>
  <c r="S298" i="18"/>
  <c r="S299" i="18"/>
  <c r="S300" i="18"/>
  <c r="S301" i="18"/>
  <c r="S302" i="18"/>
  <c r="S303" i="18"/>
  <c r="S304" i="18"/>
  <c r="S305" i="18"/>
  <c r="S306" i="18"/>
  <c r="S307" i="18"/>
  <c r="S308" i="18"/>
  <c r="S309" i="18"/>
  <c r="S310" i="18"/>
  <c r="S311" i="18"/>
  <c r="S312" i="18"/>
  <c r="S313" i="18"/>
  <c r="S314" i="18"/>
  <c r="S315" i="18"/>
  <c r="S316" i="18"/>
  <c r="S317" i="18"/>
  <c r="S318" i="18"/>
  <c r="S319" i="18"/>
  <c r="S320" i="18"/>
  <c r="S321" i="18"/>
  <c r="S322" i="18"/>
  <c r="S323" i="18"/>
  <c r="S324" i="18"/>
  <c r="S325" i="18"/>
  <c r="S326" i="18"/>
  <c r="S327" i="18"/>
  <c r="S328" i="18"/>
  <c r="S329" i="18"/>
  <c r="S330" i="18"/>
  <c r="S331" i="18"/>
  <c r="S332" i="18"/>
  <c r="S333" i="18"/>
  <c r="S334" i="18"/>
  <c r="S335" i="18"/>
  <c r="S336" i="18"/>
  <c r="S337" i="18"/>
  <c r="S338" i="18"/>
  <c r="S339" i="18"/>
  <c r="S340" i="18"/>
  <c r="S341" i="18"/>
  <c r="S342" i="18"/>
  <c r="S343" i="18"/>
  <c r="S344" i="18"/>
  <c r="S345" i="18"/>
  <c r="S346" i="18"/>
  <c r="S347" i="18"/>
  <c r="S348" i="18"/>
  <c r="S349" i="18"/>
  <c r="S350" i="18"/>
  <c r="S351" i="18"/>
  <c r="S352" i="18"/>
  <c r="S353" i="18"/>
  <c r="S160" i="18"/>
  <c r="R15" i="18"/>
  <c r="R17" i="18"/>
  <c r="R18" i="18"/>
  <c r="R405" i="18"/>
  <c r="R406" i="18"/>
  <c r="R407" i="18"/>
  <c r="R408" i="18"/>
  <c r="R409" i="18"/>
  <c r="R410" i="18"/>
  <c r="R411" i="18"/>
  <c r="R412" i="18"/>
  <c r="R413" i="18"/>
  <c r="R414" i="18"/>
  <c r="R415" i="18"/>
  <c r="R416" i="18"/>
  <c r="R417" i="18"/>
  <c r="R418" i="18"/>
  <c r="R419" i="18"/>
  <c r="R420" i="18"/>
  <c r="R421" i="18"/>
  <c r="R422" i="18"/>
  <c r="R423" i="18"/>
  <c r="R424" i="18"/>
  <c r="R425" i="18"/>
  <c r="R426" i="18"/>
  <c r="R427" i="18"/>
  <c r="R428" i="18"/>
  <c r="R429" i="18"/>
  <c r="R430" i="18"/>
  <c r="R431" i="18"/>
  <c r="R432" i="18"/>
  <c r="R433" i="18"/>
  <c r="R434" i="18"/>
  <c r="R435" i="18"/>
  <c r="R436" i="18"/>
  <c r="R437" i="18"/>
  <c r="R438" i="18"/>
  <c r="R439" i="18"/>
  <c r="R440" i="18"/>
  <c r="R441" i="18"/>
  <c r="R442" i="18"/>
  <c r="R443" i="18"/>
  <c r="R444" i="18"/>
  <c r="R445" i="18"/>
  <c r="R446" i="18"/>
  <c r="R447" i="18"/>
  <c r="R448" i="18"/>
  <c r="R449" i="18"/>
  <c r="R450" i="18"/>
  <c r="R451" i="18"/>
  <c r="R452" i="18"/>
  <c r="R453" i="18"/>
  <c r="R454" i="18"/>
  <c r="R455" i="18"/>
  <c r="R456" i="18"/>
  <c r="R457" i="18"/>
  <c r="R458" i="18"/>
  <c r="R459" i="18"/>
  <c r="R460" i="18"/>
  <c r="R461" i="18"/>
  <c r="R462" i="18"/>
  <c r="R463" i="18"/>
  <c r="R464" i="18"/>
  <c r="R465" i="18"/>
  <c r="R466" i="18"/>
  <c r="R467" i="18"/>
  <c r="R468" i="18"/>
  <c r="R469" i="18"/>
  <c r="R470" i="18"/>
  <c r="R471" i="18"/>
  <c r="R472" i="18"/>
  <c r="R473" i="18"/>
  <c r="R474" i="18"/>
  <c r="R475" i="18"/>
  <c r="R476" i="18"/>
  <c r="R477" i="18"/>
  <c r="R478" i="18"/>
  <c r="R479" i="18"/>
  <c r="R480" i="18"/>
  <c r="R481" i="18"/>
  <c r="R482" i="18"/>
  <c r="R483" i="18"/>
  <c r="R484" i="18"/>
  <c r="R485" i="18"/>
  <c r="R486" i="18"/>
  <c r="R487" i="18"/>
  <c r="R488" i="18"/>
  <c r="R489" i="18"/>
  <c r="R490" i="18"/>
  <c r="R491" i="18"/>
  <c r="R492" i="18"/>
  <c r="R493" i="18"/>
  <c r="R494" i="18"/>
  <c r="R495" i="18"/>
  <c r="R496" i="18"/>
  <c r="R497" i="18"/>
  <c r="R498" i="18"/>
  <c r="R499" i="18"/>
  <c r="R500" i="18"/>
  <c r="R501" i="18"/>
  <c r="R502" i="18"/>
  <c r="R503" i="18"/>
  <c r="R504" i="18"/>
  <c r="R505" i="18"/>
  <c r="R506" i="18"/>
  <c r="R507" i="18"/>
  <c r="R508" i="18"/>
  <c r="R509" i="18"/>
  <c r="R510" i="18"/>
  <c r="R511" i="18"/>
  <c r="R512" i="18"/>
  <c r="R513" i="18"/>
  <c r="R514" i="18"/>
  <c r="R515" i="18"/>
  <c r="R516" i="18"/>
  <c r="R517" i="18"/>
  <c r="R518" i="18"/>
  <c r="R519" i="18"/>
  <c r="R520" i="18"/>
  <c r="R521" i="18"/>
  <c r="R522" i="18"/>
  <c r="R523" i="18"/>
  <c r="R524" i="18"/>
  <c r="R525" i="18"/>
  <c r="R526" i="18"/>
  <c r="R527" i="18"/>
  <c r="R528" i="18"/>
  <c r="R529" i="18"/>
  <c r="R530" i="18"/>
  <c r="R531" i="18"/>
  <c r="R532" i="18"/>
  <c r="R533" i="18"/>
  <c r="R534" i="18"/>
  <c r="R535" i="18"/>
  <c r="R536" i="18"/>
  <c r="R537" i="18"/>
  <c r="R538" i="18"/>
  <c r="R539" i="18"/>
  <c r="R540" i="18"/>
  <c r="R541" i="18"/>
  <c r="R542" i="18"/>
  <c r="R543" i="18"/>
  <c r="R544" i="18"/>
  <c r="R545" i="18"/>
  <c r="R546" i="18"/>
  <c r="R547" i="18"/>
  <c r="R548" i="18"/>
  <c r="R549" i="18"/>
  <c r="R550" i="18"/>
  <c r="R551" i="18"/>
  <c r="R552" i="18"/>
  <c r="R553" i="18"/>
  <c r="R554" i="18"/>
  <c r="R555" i="18"/>
  <c r="R556" i="18"/>
  <c r="R557" i="18"/>
  <c r="R558" i="18"/>
  <c r="R559" i="18"/>
  <c r="R560" i="18"/>
  <c r="R561" i="18"/>
  <c r="R562" i="18"/>
  <c r="R563" i="18"/>
  <c r="R564" i="18"/>
  <c r="R565" i="18"/>
  <c r="R566" i="18"/>
  <c r="R567" i="18"/>
  <c r="R568" i="18"/>
  <c r="R569" i="18"/>
  <c r="R570" i="18"/>
  <c r="R571" i="18"/>
  <c r="R572" i="18"/>
  <c r="R573" i="18"/>
  <c r="R574" i="18"/>
  <c r="R575" i="18"/>
  <c r="R576" i="18"/>
  <c r="R577" i="18"/>
  <c r="R578" i="18"/>
  <c r="R579" i="18"/>
  <c r="R580" i="18"/>
  <c r="R581" i="18"/>
  <c r="R582" i="18"/>
  <c r="R583" i="18"/>
  <c r="R584" i="18"/>
  <c r="R585" i="18"/>
  <c r="R586" i="18"/>
  <c r="R587" i="18"/>
  <c r="R588" i="18"/>
  <c r="R589" i="18"/>
  <c r="R590" i="18"/>
  <c r="R591" i="18"/>
  <c r="R592" i="18"/>
  <c r="R593" i="18"/>
  <c r="R594" i="18"/>
  <c r="R595" i="18"/>
  <c r="R596" i="18"/>
  <c r="R597" i="18"/>
  <c r="R598" i="18"/>
  <c r="R599" i="18"/>
  <c r="R600" i="18"/>
  <c r="R601" i="18"/>
  <c r="R602" i="18"/>
  <c r="R603" i="18"/>
  <c r="R604" i="18"/>
  <c r="R605" i="18"/>
  <c r="R606" i="18"/>
  <c r="R607" i="18"/>
  <c r="R608" i="18"/>
  <c r="R609" i="18"/>
  <c r="R610" i="18"/>
  <c r="R611" i="18"/>
  <c r="R612" i="18"/>
  <c r="R613" i="18"/>
  <c r="R614" i="18"/>
  <c r="R615" i="18"/>
  <c r="R616" i="18"/>
  <c r="R617" i="18"/>
  <c r="R618" i="18"/>
  <c r="R619" i="18"/>
  <c r="R620" i="18"/>
  <c r="R621" i="18"/>
  <c r="R622" i="18"/>
  <c r="R623" i="18"/>
  <c r="R624" i="18"/>
  <c r="R625" i="18"/>
  <c r="R626" i="18"/>
  <c r="R627" i="18"/>
  <c r="R628" i="18"/>
  <c r="R629" i="18"/>
  <c r="R630" i="18"/>
  <c r="R631" i="18"/>
  <c r="R632" i="18"/>
  <c r="R633" i="18"/>
  <c r="R634" i="18"/>
  <c r="R635" i="18"/>
  <c r="R636" i="18"/>
  <c r="R637" i="18"/>
  <c r="R638" i="18"/>
  <c r="R639" i="18"/>
  <c r="R640" i="18"/>
  <c r="R641" i="18"/>
  <c r="R642" i="18"/>
  <c r="R643" i="18"/>
  <c r="R644" i="18"/>
  <c r="R645" i="18"/>
  <c r="R646" i="18"/>
  <c r="R647" i="18"/>
  <c r="R648" i="18"/>
  <c r="R649" i="18"/>
  <c r="R650" i="18"/>
  <c r="R651" i="18"/>
  <c r="R652" i="18"/>
  <c r="R653" i="18"/>
  <c r="R654" i="18"/>
  <c r="R655" i="18"/>
  <c r="R656" i="18"/>
  <c r="R657" i="18"/>
  <c r="R658" i="18"/>
  <c r="R659" i="18"/>
  <c r="R660" i="18"/>
  <c r="R661" i="18"/>
  <c r="R662" i="18"/>
  <c r="R663" i="18"/>
  <c r="R664" i="18"/>
  <c r="R665" i="18"/>
  <c r="R666" i="18"/>
  <c r="R667" i="18"/>
  <c r="R668" i="18"/>
  <c r="R669" i="18"/>
  <c r="R670" i="18"/>
  <c r="R671" i="18"/>
  <c r="R672" i="18"/>
  <c r="R673" i="18"/>
  <c r="R674" i="18"/>
  <c r="R675" i="18"/>
  <c r="R676" i="18"/>
  <c r="R677" i="18"/>
  <c r="R678" i="18"/>
  <c r="R679" i="18"/>
  <c r="R680" i="18"/>
  <c r="R681" i="18"/>
  <c r="R682" i="18"/>
  <c r="R683" i="18"/>
  <c r="R684" i="18"/>
  <c r="R685" i="18"/>
  <c r="R686" i="18"/>
  <c r="R687" i="18"/>
  <c r="R688" i="18"/>
  <c r="R689" i="18"/>
  <c r="R690" i="18"/>
  <c r="R691" i="18"/>
  <c r="R692" i="18"/>
  <c r="R693" i="18"/>
  <c r="R694" i="18"/>
  <c r="R695" i="18"/>
  <c r="R696" i="18"/>
  <c r="R697" i="18"/>
  <c r="R698" i="18"/>
  <c r="R699" i="18"/>
  <c r="R700" i="18"/>
  <c r="R701" i="18"/>
  <c r="R702" i="18"/>
  <c r="R703" i="18"/>
  <c r="R704" i="18"/>
  <c r="R705" i="18"/>
  <c r="R706" i="18"/>
  <c r="R707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R228" i="18"/>
  <c r="R229" i="18"/>
  <c r="R230" i="18"/>
  <c r="R231" i="18"/>
  <c r="R232" i="18"/>
  <c r="R233" i="18"/>
  <c r="R234" i="18"/>
  <c r="R235" i="18"/>
  <c r="R236" i="18"/>
  <c r="R237" i="18"/>
  <c r="R238" i="18"/>
  <c r="R239" i="18"/>
  <c r="R240" i="18"/>
  <c r="R241" i="18"/>
  <c r="R242" i="18"/>
  <c r="R243" i="18"/>
  <c r="R244" i="18"/>
  <c r="R245" i="18"/>
  <c r="R246" i="18"/>
  <c r="R247" i="18"/>
  <c r="R248" i="18"/>
  <c r="R249" i="18"/>
  <c r="R250" i="18"/>
  <c r="R251" i="18"/>
  <c r="R252" i="18"/>
  <c r="R253" i="18"/>
  <c r="R254" i="18"/>
  <c r="R255" i="18"/>
  <c r="R256" i="18"/>
  <c r="R257" i="18"/>
  <c r="R258" i="18"/>
  <c r="R259" i="18"/>
  <c r="R260" i="18"/>
  <c r="R261" i="18"/>
  <c r="R262" i="18"/>
  <c r="R263" i="18"/>
  <c r="R264" i="18"/>
  <c r="R265" i="18"/>
  <c r="R266" i="18"/>
  <c r="R267" i="18"/>
  <c r="R268" i="18"/>
  <c r="R269" i="18"/>
  <c r="R270" i="18"/>
  <c r="R271" i="18"/>
  <c r="R272" i="18"/>
  <c r="R273" i="18"/>
  <c r="R274" i="18"/>
  <c r="R275" i="18"/>
  <c r="R276" i="18"/>
  <c r="R277" i="18"/>
  <c r="R278" i="18"/>
  <c r="R279" i="18"/>
  <c r="R280" i="18"/>
  <c r="R281" i="18"/>
  <c r="R282" i="18"/>
  <c r="R283" i="18"/>
  <c r="R284" i="18"/>
  <c r="R285" i="18"/>
  <c r="R286" i="18"/>
  <c r="R287" i="18"/>
  <c r="R288" i="18"/>
  <c r="R289" i="18"/>
  <c r="R290" i="18"/>
  <c r="R291" i="18"/>
  <c r="R292" i="18"/>
  <c r="R293" i="18"/>
  <c r="R294" i="18"/>
  <c r="R295" i="18"/>
  <c r="R296" i="18"/>
  <c r="R297" i="18"/>
  <c r="R298" i="18"/>
  <c r="R299" i="18"/>
  <c r="R300" i="18"/>
  <c r="R301" i="18"/>
  <c r="R302" i="18"/>
  <c r="R303" i="18"/>
  <c r="R304" i="18"/>
  <c r="R305" i="18"/>
  <c r="R306" i="18"/>
  <c r="R307" i="18"/>
  <c r="R308" i="18"/>
  <c r="R309" i="18"/>
  <c r="R310" i="18"/>
  <c r="R311" i="18"/>
  <c r="R312" i="18"/>
  <c r="R313" i="18"/>
  <c r="R314" i="18"/>
  <c r="R315" i="18"/>
  <c r="R316" i="18"/>
  <c r="R317" i="18"/>
  <c r="R318" i="18"/>
  <c r="R319" i="18"/>
  <c r="R320" i="18"/>
  <c r="R321" i="18"/>
  <c r="R322" i="18"/>
  <c r="R323" i="18"/>
  <c r="R324" i="18"/>
  <c r="R325" i="18"/>
  <c r="R326" i="18"/>
  <c r="R327" i="18"/>
  <c r="R328" i="18"/>
  <c r="R329" i="18"/>
  <c r="R330" i="18"/>
  <c r="R331" i="18"/>
  <c r="R332" i="18"/>
  <c r="R333" i="18"/>
  <c r="R334" i="18"/>
  <c r="R335" i="18"/>
  <c r="R336" i="18"/>
  <c r="R337" i="18"/>
  <c r="R338" i="18"/>
  <c r="R339" i="18"/>
  <c r="R340" i="18"/>
  <c r="R341" i="18"/>
  <c r="R342" i="18"/>
  <c r="R343" i="18"/>
  <c r="R344" i="18"/>
  <c r="R345" i="18"/>
  <c r="R346" i="18"/>
  <c r="R347" i="18"/>
  <c r="R348" i="18"/>
  <c r="R349" i="18"/>
  <c r="R350" i="18"/>
  <c r="R351" i="18"/>
  <c r="R352" i="18"/>
  <c r="R353" i="18"/>
  <c r="R354" i="18"/>
  <c r="R355" i="18"/>
  <c r="R356" i="18"/>
  <c r="R357" i="18"/>
  <c r="R358" i="18"/>
  <c r="R359" i="18"/>
  <c r="R360" i="18"/>
  <c r="R361" i="18"/>
  <c r="R362" i="18"/>
  <c r="R363" i="18"/>
  <c r="R364" i="18"/>
  <c r="R365" i="18"/>
  <c r="R366" i="18"/>
  <c r="R367" i="18"/>
  <c r="R368" i="18"/>
  <c r="R369" i="18"/>
  <c r="R370" i="18"/>
  <c r="R371" i="18"/>
  <c r="R372" i="18"/>
  <c r="R373" i="18"/>
  <c r="R374" i="18"/>
  <c r="R375" i="18"/>
  <c r="R376" i="18"/>
  <c r="R377" i="18"/>
  <c r="R378" i="18"/>
  <c r="R379" i="18"/>
  <c r="R380" i="18"/>
  <c r="R381" i="18"/>
  <c r="R382" i="18"/>
  <c r="R383" i="18"/>
  <c r="R384" i="18"/>
  <c r="R385" i="18"/>
  <c r="R386" i="18"/>
  <c r="R387" i="18"/>
  <c r="R388" i="18"/>
  <c r="R389" i="18"/>
  <c r="R390" i="18"/>
  <c r="R391" i="18"/>
  <c r="R392" i="18"/>
  <c r="R393" i="18"/>
  <c r="R394" i="18"/>
  <c r="R395" i="18"/>
  <c r="R396" i="18"/>
  <c r="R397" i="18"/>
  <c r="R398" i="18"/>
  <c r="R399" i="18"/>
  <c r="R400" i="18"/>
  <c r="R401" i="18"/>
  <c r="R402" i="18"/>
  <c r="R403" i="18"/>
  <c r="R404" i="18"/>
  <c r="R19" i="18"/>
  <c r="R4" i="18" l="1"/>
  <c r="P707" i="18" l="1"/>
  <c r="O707" i="18"/>
  <c r="N707" i="18"/>
  <c r="M707" i="18"/>
  <c r="L707" i="18"/>
  <c r="K707" i="18"/>
  <c r="J707" i="18"/>
  <c r="I707" i="18"/>
  <c r="H707" i="18"/>
  <c r="G707" i="18"/>
  <c r="Q707" i="18" s="1"/>
  <c r="Q706" i="18"/>
  <c r="P706" i="18"/>
  <c r="O706" i="18"/>
  <c r="N706" i="18"/>
  <c r="M706" i="18"/>
  <c r="L706" i="18"/>
  <c r="K706" i="18"/>
  <c r="J706" i="18"/>
  <c r="I706" i="18"/>
  <c r="H706" i="18"/>
  <c r="G706" i="18"/>
  <c r="P705" i="18"/>
  <c r="O705" i="18"/>
  <c r="N705" i="18"/>
  <c r="M705" i="18"/>
  <c r="L705" i="18"/>
  <c r="K705" i="18"/>
  <c r="J705" i="18"/>
  <c r="I705" i="18"/>
  <c r="H705" i="18"/>
  <c r="G705" i="18"/>
  <c r="P704" i="18"/>
  <c r="O704" i="18"/>
  <c r="N704" i="18"/>
  <c r="M704" i="18"/>
  <c r="L704" i="18"/>
  <c r="K704" i="18"/>
  <c r="J704" i="18"/>
  <c r="I704" i="18"/>
  <c r="H704" i="18"/>
  <c r="G704" i="18"/>
  <c r="Q704" i="18" s="1"/>
  <c r="P703" i="18"/>
  <c r="O703" i="18"/>
  <c r="N703" i="18"/>
  <c r="M703" i="18"/>
  <c r="L703" i="18"/>
  <c r="K703" i="18"/>
  <c r="J703" i="18"/>
  <c r="I703" i="18"/>
  <c r="H703" i="18"/>
  <c r="G703" i="18"/>
  <c r="Q703" i="18" s="1"/>
  <c r="Q702" i="18"/>
  <c r="P702" i="18"/>
  <c r="O702" i="18"/>
  <c r="N702" i="18"/>
  <c r="M702" i="18"/>
  <c r="L702" i="18"/>
  <c r="K702" i="18"/>
  <c r="J702" i="18"/>
  <c r="I702" i="18"/>
  <c r="G702" i="18"/>
  <c r="P701" i="18"/>
  <c r="O701" i="18"/>
  <c r="N701" i="18"/>
  <c r="M701" i="18"/>
  <c r="L701" i="18"/>
  <c r="K701" i="18"/>
  <c r="J701" i="18"/>
  <c r="I701" i="18"/>
  <c r="H701" i="18"/>
  <c r="G701" i="18"/>
  <c r="P700" i="18"/>
  <c r="O700" i="18"/>
  <c r="N700" i="18"/>
  <c r="M700" i="18"/>
  <c r="L700" i="18"/>
  <c r="K700" i="18"/>
  <c r="J700" i="18"/>
  <c r="I700" i="18"/>
  <c r="H700" i="18"/>
  <c r="G700" i="18"/>
  <c r="Q701" i="18" s="1"/>
  <c r="P699" i="18"/>
  <c r="O699" i="18"/>
  <c r="N699" i="18"/>
  <c r="M699" i="18"/>
  <c r="L699" i="18"/>
  <c r="K699" i="18"/>
  <c r="J699" i="18"/>
  <c r="I699" i="18"/>
  <c r="H699" i="18"/>
  <c r="G699" i="18"/>
  <c r="Q699" i="18" s="1"/>
  <c r="Q698" i="18"/>
  <c r="P698" i="18"/>
  <c r="O698" i="18"/>
  <c r="N698" i="18"/>
  <c r="M698" i="18"/>
  <c r="L698" i="18"/>
  <c r="K698" i="18"/>
  <c r="J698" i="18"/>
  <c r="I698" i="18"/>
  <c r="H698" i="18"/>
  <c r="G698" i="18"/>
  <c r="P697" i="18"/>
  <c r="O697" i="18"/>
  <c r="N697" i="18"/>
  <c r="M697" i="18"/>
  <c r="L697" i="18"/>
  <c r="K697" i="18"/>
  <c r="J697" i="18"/>
  <c r="I697" i="18"/>
  <c r="H697" i="18"/>
  <c r="G697" i="18"/>
  <c r="P696" i="18"/>
  <c r="O696" i="18"/>
  <c r="N696" i="18"/>
  <c r="M696" i="18"/>
  <c r="L696" i="18"/>
  <c r="K696" i="18"/>
  <c r="J696" i="18"/>
  <c r="I696" i="18"/>
  <c r="H696" i="18"/>
  <c r="G696" i="18"/>
  <c r="Q696" i="18" s="1"/>
  <c r="P695" i="18"/>
  <c r="O695" i="18"/>
  <c r="N695" i="18"/>
  <c r="M695" i="18"/>
  <c r="L695" i="18"/>
  <c r="K695" i="18"/>
  <c r="J695" i="18"/>
  <c r="I695" i="18"/>
  <c r="H695" i="18"/>
  <c r="G695" i="18"/>
  <c r="Q695" i="18" s="1"/>
  <c r="Q694" i="18"/>
  <c r="P694" i="18"/>
  <c r="O694" i="18"/>
  <c r="N694" i="18"/>
  <c r="M694" i="18"/>
  <c r="L694" i="18"/>
  <c r="K694" i="18"/>
  <c r="J694" i="18"/>
  <c r="I694" i="18"/>
  <c r="H694" i="18"/>
  <c r="G694" i="18"/>
  <c r="P693" i="18"/>
  <c r="O693" i="18"/>
  <c r="N693" i="18"/>
  <c r="M693" i="18"/>
  <c r="L693" i="18"/>
  <c r="K693" i="18"/>
  <c r="J693" i="18"/>
  <c r="I693" i="18"/>
  <c r="H693" i="18"/>
  <c r="G693" i="18"/>
  <c r="P692" i="18"/>
  <c r="O692" i="18"/>
  <c r="N692" i="18"/>
  <c r="M692" i="18"/>
  <c r="L692" i="18"/>
  <c r="K692" i="18"/>
  <c r="J692" i="18"/>
  <c r="I692" i="18"/>
  <c r="H692" i="18"/>
  <c r="G692" i="18"/>
  <c r="Q693" i="18" s="1"/>
  <c r="P691" i="18"/>
  <c r="O691" i="18"/>
  <c r="N691" i="18"/>
  <c r="M691" i="18"/>
  <c r="L691" i="18"/>
  <c r="K691" i="18"/>
  <c r="J691" i="18"/>
  <c r="I691" i="18"/>
  <c r="H691" i="18"/>
  <c r="G691" i="18"/>
  <c r="Q691" i="18" s="1"/>
  <c r="Q690" i="18"/>
  <c r="P690" i="18"/>
  <c r="O690" i="18"/>
  <c r="N690" i="18"/>
  <c r="M690" i="18"/>
  <c r="L690" i="18"/>
  <c r="K690" i="18"/>
  <c r="J690" i="18"/>
  <c r="I690" i="18"/>
  <c r="H690" i="18"/>
  <c r="G690" i="18"/>
  <c r="P689" i="18"/>
  <c r="O689" i="18"/>
  <c r="N689" i="18"/>
  <c r="M689" i="18"/>
  <c r="L689" i="18"/>
  <c r="K689" i="18"/>
  <c r="J689" i="18"/>
  <c r="I689" i="18"/>
  <c r="H689" i="18"/>
  <c r="G689" i="18"/>
  <c r="P688" i="18"/>
  <c r="O688" i="18"/>
  <c r="N688" i="18"/>
  <c r="M688" i="18"/>
  <c r="L688" i="18"/>
  <c r="K688" i="18"/>
  <c r="J688" i="18"/>
  <c r="I688" i="18"/>
  <c r="H688" i="18"/>
  <c r="G688" i="18"/>
  <c r="Q688" i="18" s="1"/>
  <c r="P687" i="18"/>
  <c r="O687" i="18"/>
  <c r="N687" i="18"/>
  <c r="M687" i="18"/>
  <c r="L687" i="18"/>
  <c r="K687" i="18"/>
  <c r="J687" i="18"/>
  <c r="I687" i="18"/>
  <c r="H687" i="18"/>
  <c r="G687" i="18"/>
  <c r="Q687" i="18" s="1"/>
  <c r="Q686" i="18"/>
  <c r="P686" i="18"/>
  <c r="O686" i="18"/>
  <c r="N686" i="18"/>
  <c r="M686" i="18"/>
  <c r="L686" i="18"/>
  <c r="K686" i="18"/>
  <c r="J686" i="18"/>
  <c r="I686" i="18"/>
  <c r="H686" i="18"/>
  <c r="G686" i="18"/>
  <c r="P685" i="18"/>
  <c r="O685" i="18"/>
  <c r="N685" i="18"/>
  <c r="M685" i="18"/>
  <c r="L685" i="18"/>
  <c r="K685" i="18"/>
  <c r="J685" i="18"/>
  <c r="I685" i="18"/>
  <c r="H685" i="18"/>
  <c r="G685" i="18"/>
  <c r="P684" i="18"/>
  <c r="O684" i="18"/>
  <c r="N684" i="18"/>
  <c r="M684" i="18"/>
  <c r="L684" i="18"/>
  <c r="K684" i="18"/>
  <c r="J684" i="18"/>
  <c r="I684" i="18"/>
  <c r="H684" i="18"/>
  <c r="G684" i="18"/>
  <c r="P683" i="18"/>
  <c r="O683" i="18"/>
  <c r="N683" i="18"/>
  <c r="M683" i="18"/>
  <c r="L683" i="18"/>
  <c r="K683" i="18"/>
  <c r="J683" i="18"/>
  <c r="I683" i="18"/>
  <c r="H683" i="18"/>
  <c r="G683" i="18"/>
  <c r="Q683" i="18" s="1"/>
  <c r="Q682" i="18"/>
  <c r="P682" i="18"/>
  <c r="O682" i="18"/>
  <c r="N682" i="18"/>
  <c r="M682" i="18"/>
  <c r="L682" i="18"/>
  <c r="K682" i="18"/>
  <c r="J682" i="18"/>
  <c r="I682" i="18"/>
  <c r="H682" i="18"/>
  <c r="G682" i="18"/>
  <c r="P681" i="18"/>
  <c r="O681" i="18"/>
  <c r="N681" i="18"/>
  <c r="M681" i="18"/>
  <c r="L681" i="18"/>
  <c r="K681" i="18"/>
  <c r="J681" i="18"/>
  <c r="I681" i="18"/>
  <c r="H681" i="18"/>
  <c r="G681" i="18"/>
  <c r="P680" i="18"/>
  <c r="O680" i="18"/>
  <c r="N680" i="18"/>
  <c r="M680" i="18"/>
  <c r="L680" i="18"/>
  <c r="K680" i="18"/>
  <c r="J680" i="18"/>
  <c r="I680" i="18"/>
  <c r="H680" i="18"/>
  <c r="G680" i="18"/>
  <c r="Q680" i="18" s="1"/>
  <c r="P679" i="18"/>
  <c r="O679" i="18"/>
  <c r="N679" i="18"/>
  <c r="M679" i="18"/>
  <c r="L679" i="18"/>
  <c r="K679" i="18"/>
  <c r="J679" i="18"/>
  <c r="I679" i="18"/>
  <c r="H679" i="18"/>
  <c r="G679" i="18"/>
  <c r="Q679" i="18" s="1"/>
  <c r="Q678" i="18"/>
  <c r="P678" i="18"/>
  <c r="O678" i="18"/>
  <c r="N678" i="18"/>
  <c r="M678" i="18"/>
  <c r="L678" i="18"/>
  <c r="K678" i="18"/>
  <c r="J678" i="18"/>
  <c r="I678" i="18"/>
  <c r="H678" i="18"/>
  <c r="G678" i="18"/>
  <c r="P677" i="18"/>
  <c r="O677" i="18"/>
  <c r="N677" i="18"/>
  <c r="M677" i="18"/>
  <c r="L677" i="18"/>
  <c r="K677" i="18"/>
  <c r="J677" i="18"/>
  <c r="I677" i="18"/>
  <c r="H677" i="18"/>
  <c r="G677" i="18"/>
  <c r="P676" i="18"/>
  <c r="O676" i="18"/>
  <c r="N676" i="18"/>
  <c r="M676" i="18"/>
  <c r="L676" i="18"/>
  <c r="K676" i="18"/>
  <c r="J676" i="18"/>
  <c r="I676" i="18"/>
  <c r="H676" i="18"/>
  <c r="G676" i="18"/>
  <c r="P675" i="18"/>
  <c r="O675" i="18"/>
  <c r="N675" i="18"/>
  <c r="M675" i="18"/>
  <c r="L675" i="18"/>
  <c r="K675" i="18"/>
  <c r="J675" i="18"/>
  <c r="I675" i="18"/>
  <c r="H675" i="18"/>
  <c r="G675" i="18"/>
  <c r="Q675" i="18" s="1"/>
  <c r="Q674" i="18"/>
  <c r="P674" i="18"/>
  <c r="O674" i="18"/>
  <c r="N674" i="18"/>
  <c r="M674" i="18"/>
  <c r="L674" i="18"/>
  <c r="K674" i="18"/>
  <c r="J674" i="18"/>
  <c r="I674" i="18"/>
  <c r="H674" i="18"/>
  <c r="G674" i="18"/>
  <c r="P673" i="18"/>
  <c r="O673" i="18"/>
  <c r="N673" i="18"/>
  <c r="M673" i="18"/>
  <c r="L673" i="18"/>
  <c r="K673" i="18"/>
  <c r="J673" i="18"/>
  <c r="I673" i="18"/>
  <c r="H673" i="18"/>
  <c r="G673" i="18"/>
  <c r="P672" i="18"/>
  <c r="O672" i="18"/>
  <c r="N672" i="18"/>
  <c r="M672" i="18"/>
  <c r="L672" i="18"/>
  <c r="K672" i="18"/>
  <c r="J672" i="18"/>
  <c r="I672" i="18"/>
  <c r="H672" i="18"/>
  <c r="G672" i="18"/>
  <c r="Q672" i="18" s="1"/>
  <c r="P671" i="18"/>
  <c r="O671" i="18"/>
  <c r="N671" i="18"/>
  <c r="M671" i="18"/>
  <c r="L671" i="18"/>
  <c r="K671" i="18"/>
  <c r="J671" i="18"/>
  <c r="I671" i="18"/>
  <c r="H671" i="18"/>
  <c r="G671" i="18"/>
  <c r="Q671" i="18" s="1"/>
  <c r="Q670" i="18"/>
  <c r="P670" i="18"/>
  <c r="O670" i="18"/>
  <c r="N670" i="18"/>
  <c r="M670" i="18"/>
  <c r="L670" i="18"/>
  <c r="K670" i="18"/>
  <c r="J670" i="18"/>
  <c r="I670" i="18"/>
  <c r="H670" i="18"/>
  <c r="G670" i="18"/>
  <c r="P669" i="18"/>
  <c r="O669" i="18"/>
  <c r="N669" i="18"/>
  <c r="M669" i="18"/>
  <c r="L669" i="18"/>
  <c r="K669" i="18"/>
  <c r="J669" i="18"/>
  <c r="I669" i="18"/>
  <c r="H669" i="18"/>
  <c r="G669" i="18"/>
  <c r="P668" i="18"/>
  <c r="O668" i="18"/>
  <c r="N668" i="18"/>
  <c r="M668" i="18"/>
  <c r="L668" i="18"/>
  <c r="K668" i="18"/>
  <c r="J668" i="18"/>
  <c r="I668" i="18"/>
  <c r="H668" i="18"/>
  <c r="G668" i="18"/>
  <c r="P667" i="18"/>
  <c r="O667" i="18"/>
  <c r="N667" i="18"/>
  <c r="M667" i="18"/>
  <c r="L667" i="18"/>
  <c r="K667" i="18"/>
  <c r="J667" i="18"/>
  <c r="I667" i="18"/>
  <c r="H667" i="18"/>
  <c r="G667" i="18"/>
  <c r="Q667" i="18" s="1"/>
  <c r="Q666" i="18"/>
  <c r="P666" i="18"/>
  <c r="O666" i="18"/>
  <c r="N666" i="18"/>
  <c r="M666" i="18"/>
  <c r="L666" i="18"/>
  <c r="K666" i="18"/>
  <c r="J666" i="18"/>
  <c r="I666" i="18"/>
  <c r="H666" i="18"/>
  <c r="G666" i="18"/>
  <c r="P665" i="18"/>
  <c r="O665" i="18"/>
  <c r="N665" i="18"/>
  <c r="M665" i="18"/>
  <c r="L665" i="18"/>
  <c r="K665" i="18"/>
  <c r="J665" i="18"/>
  <c r="I665" i="18"/>
  <c r="H665" i="18"/>
  <c r="G665" i="18"/>
  <c r="P664" i="18"/>
  <c r="O664" i="18"/>
  <c r="N664" i="18"/>
  <c r="M664" i="18"/>
  <c r="L664" i="18"/>
  <c r="K664" i="18"/>
  <c r="J664" i="18"/>
  <c r="I664" i="18"/>
  <c r="H664" i="18"/>
  <c r="G664" i="18"/>
  <c r="Q664" i="18" s="1"/>
  <c r="P663" i="18"/>
  <c r="O663" i="18"/>
  <c r="N663" i="18"/>
  <c r="M663" i="18"/>
  <c r="L663" i="18"/>
  <c r="K663" i="18"/>
  <c r="J663" i="18"/>
  <c r="I663" i="18"/>
  <c r="H663" i="18"/>
  <c r="G663" i="18"/>
  <c r="Q663" i="18" s="1"/>
  <c r="Q662" i="18"/>
  <c r="P662" i="18"/>
  <c r="O662" i="18"/>
  <c r="N662" i="18"/>
  <c r="M662" i="18"/>
  <c r="L662" i="18"/>
  <c r="K662" i="18"/>
  <c r="J662" i="18"/>
  <c r="I662" i="18"/>
  <c r="H662" i="18"/>
  <c r="G662" i="18"/>
  <c r="P661" i="18"/>
  <c r="O661" i="18"/>
  <c r="N661" i="18"/>
  <c r="M661" i="18"/>
  <c r="L661" i="18"/>
  <c r="K661" i="18"/>
  <c r="J661" i="18"/>
  <c r="I661" i="18"/>
  <c r="H661" i="18"/>
  <c r="G661" i="18"/>
  <c r="P660" i="18"/>
  <c r="O660" i="18"/>
  <c r="N660" i="18"/>
  <c r="M660" i="18"/>
  <c r="L660" i="18"/>
  <c r="K660" i="18"/>
  <c r="J660" i="18"/>
  <c r="I660" i="18"/>
  <c r="H660" i="18"/>
  <c r="G660" i="18"/>
  <c r="P659" i="18"/>
  <c r="O659" i="18"/>
  <c r="N659" i="18"/>
  <c r="M659" i="18"/>
  <c r="L659" i="18"/>
  <c r="K659" i="18"/>
  <c r="J659" i="18"/>
  <c r="I659" i="18"/>
  <c r="H659" i="18"/>
  <c r="G659" i="18"/>
  <c r="Q659" i="18" s="1"/>
  <c r="Q658" i="18"/>
  <c r="P658" i="18"/>
  <c r="O658" i="18"/>
  <c r="N658" i="18"/>
  <c r="M658" i="18"/>
  <c r="L658" i="18"/>
  <c r="K658" i="18"/>
  <c r="J658" i="18"/>
  <c r="I658" i="18"/>
  <c r="H658" i="18"/>
  <c r="G658" i="18"/>
  <c r="P657" i="18"/>
  <c r="O657" i="18"/>
  <c r="N657" i="18"/>
  <c r="M657" i="18"/>
  <c r="L657" i="18"/>
  <c r="K657" i="18"/>
  <c r="J657" i="18"/>
  <c r="I657" i="18"/>
  <c r="H657" i="18"/>
  <c r="G657" i="18"/>
  <c r="P656" i="18"/>
  <c r="O656" i="18"/>
  <c r="N656" i="18"/>
  <c r="M656" i="18"/>
  <c r="L656" i="18"/>
  <c r="K656" i="18"/>
  <c r="J656" i="18"/>
  <c r="I656" i="18"/>
  <c r="H656" i="18"/>
  <c r="G656" i="18"/>
  <c r="Q656" i="18" s="1"/>
  <c r="P655" i="18"/>
  <c r="O655" i="18"/>
  <c r="N655" i="18"/>
  <c r="M655" i="18"/>
  <c r="L655" i="18"/>
  <c r="K655" i="18"/>
  <c r="J655" i="18"/>
  <c r="I655" i="18"/>
  <c r="H655" i="18"/>
  <c r="G655" i="18"/>
  <c r="Q655" i="18" s="1"/>
  <c r="Q654" i="18"/>
  <c r="P654" i="18"/>
  <c r="O654" i="18"/>
  <c r="N654" i="18"/>
  <c r="M654" i="18"/>
  <c r="L654" i="18"/>
  <c r="K654" i="18"/>
  <c r="J654" i="18"/>
  <c r="I654" i="18"/>
  <c r="H654" i="18"/>
  <c r="G654" i="18"/>
  <c r="P653" i="18"/>
  <c r="O653" i="18"/>
  <c r="N653" i="18"/>
  <c r="M653" i="18"/>
  <c r="L653" i="18"/>
  <c r="K653" i="18"/>
  <c r="J653" i="18"/>
  <c r="I653" i="18"/>
  <c r="H653" i="18"/>
  <c r="G653" i="18"/>
  <c r="P652" i="18"/>
  <c r="O652" i="18"/>
  <c r="N652" i="18"/>
  <c r="M652" i="18"/>
  <c r="L652" i="18"/>
  <c r="K652" i="18"/>
  <c r="J652" i="18"/>
  <c r="I652" i="18"/>
  <c r="H652" i="18"/>
  <c r="G652" i="18"/>
  <c r="P651" i="18"/>
  <c r="O651" i="18"/>
  <c r="N651" i="18"/>
  <c r="M651" i="18"/>
  <c r="L651" i="18"/>
  <c r="K651" i="18"/>
  <c r="J651" i="18"/>
  <c r="I651" i="18"/>
  <c r="H651" i="18"/>
  <c r="G651" i="18"/>
  <c r="Q651" i="18" s="1"/>
  <c r="Q650" i="18"/>
  <c r="P650" i="18"/>
  <c r="O650" i="18"/>
  <c r="N650" i="18"/>
  <c r="M650" i="18"/>
  <c r="L650" i="18"/>
  <c r="K650" i="18"/>
  <c r="J650" i="18"/>
  <c r="I650" i="18"/>
  <c r="H650" i="18"/>
  <c r="G650" i="18"/>
  <c r="P649" i="18"/>
  <c r="O649" i="18"/>
  <c r="N649" i="18"/>
  <c r="M649" i="18"/>
  <c r="L649" i="18"/>
  <c r="K649" i="18"/>
  <c r="J649" i="18"/>
  <c r="I649" i="18"/>
  <c r="H649" i="18"/>
  <c r="G649" i="18"/>
  <c r="P648" i="18"/>
  <c r="O648" i="18"/>
  <c r="N648" i="18"/>
  <c r="M648" i="18"/>
  <c r="L648" i="18"/>
  <c r="K648" i="18"/>
  <c r="J648" i="18"/>
  <c r="I648" i="18"/>
  <c r="H648" i="18"/>
  <c r="G648" i="18"/>
  <c r="Q648" i="18" s="1"/>
  <c r="P647" i="18"/>
  <c r="O647" i="18"/>
  <c r="N647" i="18"/>
  <c r="M647" i="18"/>
  <c r="L647" i="18"/>
  <c r="K647" i="18"/>
  <c r="J647" i="18"/>
  <c r="I647" i="18"/>
  <c r="H647" i="18"/>
  <c r="G647" i="18"/>
  <c r="Q647" i="18" s="1"/>
  <c r="Q646" i="18"/>
  <c r="P646" i="18"/>
  <c r="O646" i="18"/>
  <c r="N646" i="18"/>
  <c r="M646" i="18"/>
  <c r="L646" i="18"/>
  <c r="K646" i="18"/>
  <c r="J646" i="18"/>
  <c r="I646" i="18"/>
  <c r="H646" i="18"/>
  <c r="G646" i="18"/>
  <c r="P645" i="18"/>
  <c r="O645" i="18"/>
  <c r="N645" i="18"/>
  <c r="M645" i="18"/>
  <c r="L645" i="18"/>
  <c r="K645" i="18"/>
  <c r="J645" i="18"/>
  <c r="I645" i="18"/>
  <c r="H645" i="18"/>
  <c r="G645" i="18"/>
  <c r="P644" i="18"/>
  <c r="O644" i="18"/>
  <c r="N644" i="18"/>
  <c r="M644" i="18"/>
  <c r="L644" i="18"/>
  <c r="K644" i="18"/>
  <c r="J644" i="18"/>
  <c r="I644" i="18"/>
  <c r="H644" i="18"/>
  <c r="G644" i="18"/>
  <c r="P643" i="18"/>
  <c r="O643" i="18"/>
  <c r="N643" i="18"/>
  <c r="M643" i="18"/>
  <c r="L643" i="18"/>
  <c r="K643" i="18"/>
  <c r="J643" i="18"/>
  <c r="I643" i="18"/>
  <c r="H643" i="18"/>
  <c r="G643" i="18"/>
  <c r="Q643" i="18" s="1"/>
  <c r="Q642" i="18"/>
  <c r="P642" i="18"/>
  <c r="O642" i="18"/>
  <c r="N642" i="18"/>
  <c r="M642" i="18"/>
  <c r="L642" i="18"/>
  <c r="K642" i="18"/>
  <c r="J642" i="18"/>
  <c r="I642" i="18"/>
  <c r="H642" i="18"/>
  <c r="G642" i="18"/>
  <c r="P641" i="18"/>
  <c r="O641" i="18"/>
  <c r="N641" i="18"/>
  <c r="M641" i="18"/>
  <c r="L641" i="18"/>
  <c r="K641" i="18"/>
  <c r="J641" i="18"/>
  <c r="I641" i="18"/>
  <c r="H641" i="18"/>
  <c r="G641" i="18"/>
  <c r="P640" i="18"/>
  <c r="O640" i="18"/>
  <c r="N640" i="18"/>
  <c r="M640" i="18"/>
  <c r="L640" i="18"/>
  <c r="K640" i="18"/>
  <c r="J640" i="18"/>
  <c r="I640" i="18"/>
  <c r="H640" i="18"/>
  <c r="G640" i="18"/>
  <c r="Q640" i="18" s="1"/>
  <c r="P639" i="18"/>
  <c r="O639" i="18"/>
  <c r="N639" i="18"/>
  <c r="M639" i="18"/>
  <c r="L639" i="18"/>
  <c r="K639" i="18"/>
  <c r="J639" i="18"/>
  <c r="I639" i="18"/>
  <c r="H639" i="18"/>
  <c r="G639" i="18"/>
  <c r="Q639" i="18" s="1"/>
  <c r="Q638" i="18"/>
  <c r="P638" i="18"/>
  <c r="O638" i="18"/>
  <c r="N638" i="18"/>
  <c r="M638" i="18"/>
  <c r="L638" i="18"/>
  <c r="K638" i="18"/>
  <c r="J638" i="18"/>
  <c r="I638" i="18"/>
  <c r="H638" i="18"/>
  <c r="G638" i="18"/>
  <c r="P637" i="18"/>
  <c r="O637" i="18"/>
  <c r="N637" i="18"/>
  <c r="M637" i="18"/>
  <c r="L637" i="18"/>
  <c r="K637" i="18"/>
  <c r="J637" i="18"/>
  <c r="I637" i="18"/>
  <c r="H637" i="18"/>
  <c r="G637" i="18"/>
  <c r="P636" i="18"/>
  <c r="O636" i="18"/>
  <c r="N636" i="18"/>
  <c r="M636" i="18"/>
  <c r="L636" i="18"/>
  <c r="K636" i="18"/>
  <c r="J636" i="18"/>
  <c r="I636" i="18"/>
  <c r="H636" i="18"/>
  <c r="G636" i="18"/>
  <c r="P635" i="18"/>
  <c r="O635" i="18"/>
  <c r="N635" i="18"/>
  <c r="M635" i="18"/>
  <c r="L635" i="18"/>
  <c r="K635" i="18"/>
  <c r="J635" i="18"/>
  <c r="I635" i="18"/>
  <c r="H635" i="18"/>
  <c r="G635" i="18"/>
  <c r="Q635" i="18" s="1"/>
  <c r="Q634" i="18"/>
  <c r="P634" i="18"/>
  <c r="O634" i="18"/>
  <c r="N634" i="18"/>
  <c r="M634" i="18"/>
  <c r="L634" i="18"/>
  <c r="K634" i="18"/>
  <c r="J634" i="18"/>
  <c r="I634" i="18"/>
  <c r="H634" i="18"/>
  <c r="G634" i="18"/>
  <c r="P633" i="18"/>
  <c r="O633" i="18"/>
  <c r="N633" i="18"/>
  <c r="M633" i="18"/>
  <c r="L633" i="18"/>
  <c r="K633" i="18"/>
  <c r="J633" i="18"/>
  <c r="I633" i="18"/>
  <c r="H633" i="18"/>
  <c r="G633" i="18"/>
  <c r="P632" i="18"/>
  <c r="O632" i="18"/>
  <c r="N632" i="18"/>
  <c r="M632" i="18"/>
  <c r="L632" i="18"/>
  <c r="K632" i="18"/>
  <c r="J632" i="18"/>
  <c r="I632" i="18"/>
  <c r="H632" i="18"/>
  <c r="G632" i="18"/>
  <c r="Q632" i="18" s="1"/>
  <c r="P631" i="18"/>
  <c r="O631" i="18"/>
  <c r="N631" i="18"/>
  <c r="M631" i="18"/>
  <c r="L631" i="18"/>
  <c r="K631" i="18"/>
  <c r="J631" i="18"/>
  <c r="I631" i="18"/>
  <c r="H631" i="18"/>
  <c r="G631" i="18"/>
  <c r="Q631" i="18" s="1"/>
  <c r="Q630" i="18"/>
  <c r="P630" i="18"/>
  <c r="O630" i="18"/>
  <c r="N630" i="18"/>
  <c r="M630" i="18"/>
  <c r="L630" i="18"/>
  <c r="K630" i="18"/>
  <c r="J630" i="18"/>
  <c r="I630" i="18"/>
  <c r="H630" i="18"/>
  <c r="G630" i="18"/>
  <c r="P629" i="18"/>
  <c r="O629" i="18"/>
  <c r="N629" i="18"/>
  <c r="M629" i="18"/>
  <c r="L629" i="18"/>
  <c r="K629" i="18"/>
  <c r="J629" i="18"/>
  <c r="I629" i="18"/>
  <c r="H629" i="18"/>
  <c r="G629" i="18"/>
  <c r="P628" i="18"/>
  <c r="O628" i="18"/>
  <c r="N628" i="18"/>
  <c r="M628" i="18"/>
  <c r="L628" i="18"/>
  <c r="K628" i="18"/>
  <c r="J628" i="18"/>
  <c r="I628" i="18"/>
  <c r="H628" i="18"/>
  <c r="G628" i="18"/>
  <c r="P627" i="18"/>
  <c r="O627" i="18"/>
  <c r="N627" i="18"/>
  <c r="M627" i="18"/>
  <c r="L627" i="18"/>
  <c r="K627" i="18"/>
  <c r="J627" i="18"/>
  <c r="I627" i="18"/>
  <c r="H627" i="18"/>
  <c r="G627" i="18"/>
  <c r="Q627" i="18" s="1"/>
  <c r="Q626" i="18"/>
  <c r="P626" i="18"/>
  <c r="O626" i="18"/>
  <c r="N626" i="18"/>
  <c r="M626" i="18"/>
  <c r="L626" i="18"/>
  <c r="K626" i="18"/>
  <c r="J626" i="18"/>
  <c r="I626" i="18"/>
  <c r="H626" i="18"/>
  <c r="G626" i="18"/>
  <c r="P625" i="18"/>
  <c r="O625" i="18"/>
  <c r="N625" i="18"/>
  <c r="M625" i="18"/>
  <c r="L625" i="18"/>
  <c r="K625" i="18"/>
  <c r="J625" i="18"/>
  <c r="I625" i="18"/>
  <c r="H625" i="18"/>
  <c r="G625" i="18"/>
  <c r="P624" i="18"/>
  <c r="O624" i="18"/>
  <c r="N624" i="18"/>
  <c r="M624" i="18"/>
  <c r="L624" i="18"/>
  <c r="K624" i="18"/>
  <c r="J624" i="18"/>
  <c r="I624" i="18"/>
  <c r="H624" i="18"/>
  <c r="G624" i="18"/>
  <c r="Q624" i="18" s="1"/>
  <c r="P623" i="18"/>
  <c r="O623" i="18"/>
  <c r="N623" i="18"/>
  <c r="M623" i="18"/>
  <c r="L623" i="18"/>
  <c r="K623" i="18"/>
  <c r="J623" i="18"/>
  <c r="I623" i="18"/>
  <c r="H623" i="18"/>
  <c r="G623" i="18"/>
  <c r="Q623" i="18" s="1"/>
  <c r="Q622" i="18"/>
  <c r="P622" i="18"/>
  <c r="O622" i="18"/>
  <c r="N622" i="18"/>
  <c r="M622" i="18"/>
  <c r="L622" i="18"/>
  <c r="K622" i="18"/>
  <c r="J622" i="18"/>
  <c r="I622" i="18"/>
  <c r="H622" i="18"/>
  <c r="G622" i="18"/>
  <c r="P621" i="18"/>
  <c r="O621" i="18"/>
  <c r="N621" i="18"/>
  <c r="M621" i="18"/>
  <c r="L621" i="18"/>
  <c r="K621" i="18"/>
  <c r="J621" i="18"/>
  <c r="I621" i="18"/>
  <c r="H621" i="18"/>
  <c r="G621" i="18"/>
  <c r="P620" i="18"/>
  <c r="O620" i="18"/>
  <c r="N620" i="18"/>
  <c r="M620" i="18"/>
  <c r="L620" i="18"/>
  <c r="K620" i="18"/>
  <c r="J620" i="18"/>
  <c r="I620" i="18"/>
  <c r="H620" i="18"/>
  <c r="G620" i="18"/>
  <c r="P619" i="18"/>
  <c r="O619" i="18"/>
  <c r="N619" i="18"/>
  <c r="M619" i="18"/>
  <c r="L619" i="18"/>
  <c r="K619" i="18"/>
  <c r="J619" i="18"/>
  <c r="I619" i="18"/>
  <c r="H619" i="18"/>
  <c r="G619" i="18"/>
  <c r="Q619" i="18" s="1"/>
  <c r="Q618" i="18"/>
  <c r="P618" i="18"/>
  <c r="O618" i="18"/>
  <c r="N618" i="18"/>
  <c r="M618" i="18"/>
  <c r="L618" i="18"/>
  <c r="K618" i="18"/>
  <c r="J618" i="18"/>
  <c r="I618" i="18"/>
  <c r="H618" i="18"/>
  <c r="G618" i="18"/>
  <c r="P617" i="18"/>
  <c r="O617" i="18"/>
  <c r="N617" i="18"/>
  <c r="M617" i="18"/>
  <c r="L617" i="18"/>
  <c r="K617" i="18"/>
  <c r="J617" i="18"/>
  <c r="I617" i="18"/>
  <c r="H617" i="18"/>
  <c r="G617" i="18"/>
  <c r="P616" i="18"/>
  <c r="O616" i="18"/>
  <c r="N616" i="18"/>
  <c r="M616" i="18"/>
  <c r="L616" i="18"/>
  <c r="K616" i="18"/>
  <c r="J616" i="18"/>
  <c r="I616" i="18"/>
  <c r="H616" i="18"/>
  <c r="G616" i="18"/>
  <c r="Q616" i="18" s="1"/>
  <c r="P615" i="18"/>
  <c r="O615" i="18"/>
  <c r="N615" i="18"/>
  <c r="M615" i="18"/>
  <c r="L615" i="18"/>
  <c r="K615" i="18"/>
  <c r="J615" i="18"/>
  <c r="I615" i="18"/>
  <c r="H615" i="18"/>
  <c r="G615" i="18"/>
  <c r="Q615" i="18" s="1"/>
  <c r="Q614" i="18"/>
  <c r="P614" i="18"/>
  <c r="O614" i="18"/>
  <c r="N614" i="18"/>
  <c r="M614" i="18"/>
  <c r="L614" i="18"/>
  <c r="K614" i="18"/>
  <c r="J614" i="18"/>
  <c r="I614" i="18"/>
  <c r="H614" i="18"/>
  <c r="G614" i="18"/>
  <c r="P613" i="18"/>
  <c r="O613" i="18"/>
  <c r="N613" i="18"/>
  <c r="M613" i="18"/>
  <c r="L613" i="18"/>
  <c r="K613" i="18"/>
  <c r="J613" i="18"/>
  <c r="I613" i="18"/>
  <c r="H613" i="18"/>
  <c r="G613" i="18"/>
  <c r="P612" i="18"/>
  <c r="O612" i="18"/>
  <c r="N612" i="18"/>
  <c r="M612" i="18"/>
  <c r="L612" i="18"/>
  <c r="K612" i="18"/>
  <c r="J612" i="18"/>
  <c r="I612" i="18"/>
  <c r="H612" i="18"/>
  <c r="G612" i="18"/>
  <c r="P611" i="18"/>
  <c r="O611" i="18"/>
  <c r="N611" i="18"/>
  <c r="M611" i="18"/>
  <c r="L611" i="18"/>
  <c r="K611" i="18"/>
  <c r="J611" i="18"/>
  <c r="I611" i="18"/>
  <c r="H611" i="18"/>
  <c r="G611" i="18"/>
  <c r="Q611" i="18" s="1"/>
  <c r="Q610" i="18"/>
  <c r="P610" i="18"/>
  <c r="O610" i="18"/>
  <c r="N610" i="18"/>
  <c r="M610" i="18"/>
  <c r="L610" i="18"/>
  <c r="K610" i="18"/>
  <c r="J610" i="18"/>
  <c r="I610" i="18"/>
  <c r="H610" i="18"/>
  <c r="G610" i="18"/>
  <c r="P609" i="18"/>
  <c r="O609" i="18"/>
  <c r="N609" i="18"/>
  <c r="M609" i="18"/>
  <c r="L609" i="18"/>
  <c r="K609" i="18"/>
  <c r="J609" i="18"/>
  <c r="I609" i="18"/>
  <c r="H609" i="18"/>
  <c r="G609" i="18"/>
  <c r="P608" i="18"/>
  <c r="O608" i="18"/>
  <c r="N608" i="18"/>
  <c r="M608" i="18"/>
  <c r="L608" i="18"/>
  <c r="K608" i="18"/>
  <c r="J608" i="18"/>
  <c r="I608" i="18"/>
  <c r="H608" i="18"/>
  <c r="G608" i="18"/>
  <c r="Q608" i="18" s="1"/>
  <c r="P607" i="18"/>
  <c r="O607" i="18"/>
  <c r="N607" i="18"/>
  <c r="M607" i="18"/>
  <c r="L607" i="18"/>
  <c r="K607" i="18"/>
  <c r="J607" i="18"/>
  <c r="I607" i="18"/>
  <c r="H607" i="18"/>
  <c r="G607" i="18"/>
  <c r="Q607" i="18" s="1"/>
  <c r="Q606" i="18"/>
  <c r="P606" i="18"/>
  <c r="O606" i="18"/>
  <c r="N606" i="18"/>
  <c r="M606" i="18"/>
  <c r="L606" i="18"/>
  <c r="K606" i="18"/>
  <c r="J606" i="18"/>
  <c r="I606" i="18"/>
  <c r="H606" i="18"/>
  <c r="G606" i="18"/>
  <c r="P605" i="18"/>
  <c r="O605" i="18"/>
  <c r="N605" i="18"/>
  <c r="M605" i="18"/>
  <c r="L605" i="18"/>
  <c r="K605" i="18"/>
  <c r="J605" i="18"/>
  <c r="I605" i="18"/>
  <c r="H605" i="18"/>
  <c r="G605" i="18"/>
  <c r="P604" i="18"/>
  <c r="O604" i="18"/>
  <c r="N604" i="18"/>
  <c r="M604" i="18"/>
  <c r="L604" i="18"/>
  <c r="K604" i="18"/>
  <c r="J604" i="18"/>
  <c r="I604" i="18"/>
  <c r="H604" i="18"/>
  <c r="G604" i="18"/>
  <c r="P603" i="18"/>
  <c r="O603" i="18"/>
  <c r="N603" i="18"/>
  <c r="M603" i="18"/>
  <c r="L603" i="18"/>
  <c r="K603" i="18"/>
  <c r="J603" i="18"/>
  <c r="I603" i="18"/>
  <c r="H603" i="18"/>
  <c r="G603" i="18"/>
  <c r="Q603" i="18" s="1"/>
  <c r="P602" i="18"/>
  <c r="O602" i="18"/>
  <c r="N602" i="18"/>
  <c r="M602" i="18"/>
  <c r="L602" i="18"/>
  <c r="K602" i="18"/>
  <c r="J602" i="18"/>
  <c r="I602" i="18"/>
  <c r="H602" i="18"/>
  <c r="G602" i="18"/>
  <c r="Q602" i="18" s="1"/>
  <c r="P601" i="18"/>
  <c r="O601" i="18"/>
  <c r="N601" i="18"/>
  <c r="M601" i="18"/>
  <c r="L601" i="18"/>
  <c r="K601" i="18"/>
  <c r="J601" i="18"/>
  <c r="I601" i="18"/>
  <c r="H601" i="18"/>
  <c r="G601" i="18"/>
  <c r="P600" i="18"/>
  <c r="O600" i="18"/>
  <c r="N600" i="18"/>
  <c r="M600" i="18"/>
  <c r="L600" i="18"/>
  <c r="K600" i="18"/>
  <c r="J600" i="18"/>
  <c r="I600" i="18"/>
  <c r="H600" i="18"/>
  <c r="G600" i="18"/>
  <c r="Q600" i="18" s="1"/>
  <c r="P599" i="18"/>
  <c r="O599" i="18"/>
  <c r="N599" i="18"/>
  <c r="M599" i="18"/>
  <c r="L599" i="18"/>
  <c r="K599" i="18"/>
  <c r="J599" i="18"/>
  <c r="I599" i="18"/>
  <c r="H599" i="18"/>
  <c r="G599" i="18"/>
  <c r="Q599" i="18" s="1"/>
  <c r="Q598" i="18"/>
  <c r="P598" i="18"/>
  <c r="O598" i="18"/>
  <c r="N598" i="18"/>
  <c r="M598" i="18"/>
  <c r="L598" i="18"/>
  <c r="K598" i="18"/>
  <c r="J598" i="18"/>
  <c r="I598" i="18"/>
  <c r="H598" i="18"/>
  <c r="G598" i="18"/>
  <c r="P597" i="18"/>
  <c r="O597" i="18"/>
  <c r="N597" i="18"/>
  <c r="M597" i="18"/>
  <c r="L597" i="18"/>
  <c r="K597" i="18"/>
  <c r="J597" i="18"/>
  <c r="I597" i="18"/>
  <c r="H597" i="18"/>
  <c r="G597" i="18"/>
  <c r="P596" i="18"/>
  <c r="O596" i="18"/>
  <c r="N596" i="18"/>
  <c r="M596" i="18"/>
  <c r="L596" i="18"/>
  <c r="K596" i="18"/>
  <c r="J596" i="18"/>
  <c r="I596" i="18"/>
  <c r="H596" i="18"/>
  <c r="G596" i="18"/>
  <c r="P595" i="18"/>
  <c r="O595" i="18"/>
  <c r="N595" i="18"/>
  <c r="M595" i="18"/>
  <c r="L595" i="18"/>
  <c r="K595" i="18"/>
  <c r="J595" i="18"/>
  <c r="I595" i="18"/>
  <c r="H595" i="18"/>
  <c r="G595" i="18"/>
  <c r="Q595" i="18" s="1"/>
  <c r="P594" i="18"/>
  <c r="O594" i="18"/>
  <c r="N594" i="18"/>
  <c r="M594" i="18"/>
  <c r="L594" i="18"/>
  <c r="K594" i="18"/>
  <c r="J594" i="18"/>
  <c r="I594" i="18"/>
  <c r="H594" i="18"/>
  <c r="G594" i="18"/>
  <c r="Q594" i="18" s="1"/>
  <c r="P593" i="18"/>
  <c r="O593" i="18"/>
  <c r="N593" i="18"/>
  <c r="M593" i="18"/>
  <c r="L593" i="18"/>
  <c r="K593" i="18"/>
  <c r="J593" i="18"/>
  <c r="I593" i="18"/>
  <c r="H593" i="18"/>
  <c r="G593" i="18"/>
  <c r="P592" i="18"/>
  <c r="O592" i="18"/>
  <c r="N592" i="18"/>
  <c r="M592" i="18"/>
  <c r="L592" i="18"/>
  <c r="K592" i="18"/>
  <c r="J592" i="18"/>
  <c r="I592" i="18"/>
  <c r="H592" i="18"/>
  <c r="G592" i="18"/>
  <c r="Q592" i="18" s="1"/>
  <c r="P591" i="18"/>
  <c r="O591" i="18"/>
  <c r="N591" i="18"/>
  <c r="M591" i="18"/>
  <c r="L591" i="18"/>
  <c r="K591" i="18"/>
  <c r="J591" i="18"/>
  <c r="I591" i="18"/>
  <c r="H591" i="18"/>
  <c r="G591" i="18"/>
  <c r="Q591" i="18" s="1"/>
  <c r="Q590" i="18"/>
  <c r="P590" i="18"/>
  <c r="O590" i="18"/>
  <c r="N590" i="18"/>
  <c r="M590" i="18"/>
  <c r="L590" i="18"/>
  <c r="K590" i="18"/>
  <c r="J590" i="18"/>
  <c r="I590" i="18"/>
  <c r="H590" i="18"/>
  <c r="G590" i="18"/>
  <c r="P589" i="18"/>
  <c r="O589" i="18"/>
  <c r="N589" i="18"/>
  <c r="M589" i="18"/>
  <c r="L589" i="18"/>
  <c r="K589" i="18"/>
  <c r="J589" i="18"/>
  <c r="I589" i="18"/>
  <c r="H589" i="18"/>
  <c r="G589" i="18"/>
  <c r="P588" i="18"/>
  <c r="O588" i="18"/>
  <c r="N588" i="18"/>
  <c r="M588" i="18"/>
  <c r="L588" i="18"/>
  <c r="K588" i="18"/>
  <c r="J588" i="18"/>
  <c r="I588" i="18"/>
  <c r="H588" i="18"/>
  <c r="G588" i="18"/>
  <c r="P587" i="18"/>
  <c r="O587" i="18"/>
  <c r="N587" i="18"/>
  <c r="M587" i="18"/>
  <c r="L587" i="18"/>
  <c r="K587" i="18"/>
  <c r="J587" i="18"/>
  <c r="I587" i="18"/>
  <c r="H587" i="18"/>
  <c r="G587" i="18"/>
  <c r="Q587" i="18" s="1"/>
  <c r="P586" i="18"/>
  <c r="O586" i="18"/>
  <c r="N586" i="18"/>
  <c r="M586" i="18"/>
  <c r="L586" i="18"/>
  <c r="K586" i="18"/>
  <c r="J586" i="18"/>
  <c r="I586" i="18"/>
  <c r="H586" i="18"/>
  <c r="G586" i="18"/>
  <c r="Q586" i="18" s="1"/>
  <c r="P585" i="18"/>
  <c r="O585" i="18"/>
  <c r="N585" i="18"/>
  <c r="M585" i="18"/>
  <c r="L585" i="18"/>
  <c r="K585" i="18"/>
  <c r="J585" i="18"/>
  <c r="I585" i="18"/>
  <c r="H585" i="18"/>
  <c r="G585" i="18"/>
  <c r="P584" i="18"/>
  <c r="O584" i="18"/>
  <c r="N584" i="18"/>
  <c r="M584" i="18"/>
  <c r="L584" i="18"/>
  <c r="K584" i="18"/>
  <c r="J584" i="18"/>
  <c r="I584" i="18"/>
  <c r="H584" i="18"/>
  <c r="G584" i="18"/>
  <c r="Q584" i="18" s="1"/>
  <c r="P583" i="18"/>
  <c r="O583" i="18"/>
  <c r="N583" i="18"/>
  <c r="M583" i="18"/>
  <c r="L583" i="18"/>
  <c r="K583" i="18"/>
  <c r="J583" i="18"/>
  <c r="I583" i="18"/>
  <c r="H583" i="18"/>
  <c r="G583" i="18"/>
  <c r="Q583" i="18" s="1"/>
  <c r="Q582" i="18"/>
  <c r="P582" i="18"/>
  <c r="O582" i="18"/>
  <c r="N582" i="18"/>
  <c r="M582" i="18"/>
  <c r="L582" i="18"/>
  <c r="K582" i="18"/>
  <c r="J582" i="18"/>
  <c r="I582" i="18"/>
  <c r="H582" i="18"/>
  <c r="G582" i="18"/>
  <c r="P581" i="18"/>
  <c r="O581" i="18"/>
  <c r="N581" i="18"/>
  <c r="M581" i="18"/>
  <c r="L581" i="18"/>
  <c r="K581" i="18"/>
  <c r="J581" i="18"/>
  <c r="I581" i="18"/>
  <c r="H581" i="18"/>
  <c r="G581" i="18"/>
  <c r="P580" i="18"/>
  <c r="O580" i="18"/>
  <c r="N580" i="18"/>
  <c r="M580" i="18"/>
  <c r="L580" i="18"/>
  <c r="K580" i="18"/>
  <c r="J580" i="18"/>
  <c r="I580" i="18"/>
  <c r="H580" i="18"/>
  <c r="G580" i="18"/>
  <c r="P579" i="18"/>
  <c r="O579" i="18"/>
  <c r="N579" i="18"/>
  <c r="M579" i="18"/>
  <c r="L579" i="18"/>
  <c r="K579" i="18"/>
  <c r="J579" i="18"/>
  <c r="I579" i="18"/>
  <c r="H579" i="18"/>
  <c r="G579" i="18"/>
  <c r="Q579" i="18" s="1"/>
  <c r="P578" i="18"/>
  <c r="O578" i="18"/>
  <c r="N578" i="18"/>
  <c r="M578" i="18"/>
  <c r="L578" i="18"/>
  <c r="K578" i="18"/>
  <c r="J578" i="18"/>
  <c r="I578" i="18"/>
  <c r="H578" i="18"/>
  <c r="G578" i="18"/>
  <c r="Q578" i="18" s="1"/>
  <c r="P577" i="18"/>
  <c r="O577" i="18"/>
  <c r="N577" i="18"/>
  <c r="M577" i="18"/>
  <c r="L577" i="18"/>
  <c r="K577" i="18"/>
  <c r="J577" i="18"/>
  <c r="I577" i="18"/>
  <c r="H577" i="18"/>
  <c r="G577" i="18"/>
  <c r="P576" i="18"/>
  <c r="O576" i="18"/>
  <c r="N576" i="18"/>
  <c r="M576" i="18"/>
  <c r="L576" i="18"/>
  <c r="K576" i="18"/>
  <c r="J576" i="18"/>
  <c r="I576" i="18"/>
  <c r="H576" i="18"/>
  <c r="G576" i="18"/>
  <c r="Q576" i="18" s="1"/>
  <c r="P575" i="18"/>
  <c r="O575" i="18"/>
  <c r="N575" i="18"/>
  <c r="M575" i="18"/>
  <c r="L575" i="18"/>
  <c r="K575" i="18"/>
  <c r="J575" i="18"/>
  <c r="I575" i="18"/>
  <c r="H575" i="18"/>
  <c r="G575" i="18"/>
  <c r="Q575" i="18" s="1"/>
  <c r="Q574" i="18"/>
  <c r="P574" i="18"/>
  <c r="O574" i="18"/>
  <c r="N574" i="18"/>
  <c r="M574" i="18"/>
  <c r="L574" i="18"/>
  <c r="K574" i="18"/>
  <c r="J574" i="18"/>
  <c r="I574" i="18"/>
  <c r="H574" i="18"/>
  <c r="G574" i="18"/>
  <c r="P573" i="18"/>
  <c r="O573" i="18"/>
  <c r="N573" i="18"/>
  <c r="M573" i="18"/>
  <c r="L573" i="18"/>
  <c r="K573" i="18"/>
  <c r="J573" i="18"/>
  <c r="I573" i="18"/>
  <c r="H573" i="18"/>
  <c r="G573" i="18"/>
  <c r="P572" i="18"/>
  <c r="O572" i="18"/>
  <c r="N572" i="18"/>
  <c r="M572" i="18"/>
  <c r="L572" i="18"/>
  <c r="K572" i="18"/>
  <c r="J572" i="18"/>
  <c r="I572" i="18"/>
  <c r="H572" i="18"/>
  <c r="G572" i="18"/>
  <c r="P571" i="18"/>
  <c r="O571" i="18"/>
  <c r="N571" i="18"/>
  <c r="M571" i="18"/>
  <c r="L571" i="18"/>
  <c r="K571" i="18"/>
  <c r="J571" i="18"/>
  <c r="I571" i="18"/>
  <c r="H571" i="18"/>
  <c r="G571" i="18"/>
  <c r="Q571" i="18" s="1"/>
  <c r="P570" i="18"/>
  <c r="O570" i="18"/>
  <c r="N570" i="18"/>
  <c r="M570" i="18"/>
  <c r="L570" i="18"/>
  <c r="K570" i="18"/>
  <c r="J570" i="18"/>
  <c r="I570" i="18"/>
  <c r="H570" i="18"/>
  <c r="G570" i="18"/>
  <c r="Q570" i="18" s="1"/>
  <c r="P569" i="18"/>
  <c r="O569" i="18"/>
  <c r="N569" i="18"/>
  <c r="M569" i="18"/>
  <c r="L569" i="18"/>
  <c r="K569" i="18"/>
  <c r="J569" i="18"/>
  <c r="I569" i="18"/>
  <c r="H569" i="18"/>
  <c r="G569" i="18"/>
  <c r="P568" i="18"/>
  <c r="O568" i="18"/>
  <c r="N568" i="18"/>
  <c r="M568" i="18"/>
  <c r="L568" i="18"/>
  <c r="K568" i="18"/>
  <c r="J568" i="18"/>
  <c r="I568" i="18"/>
  <c r="H568" i="18"/>
  <c r="G568" i="18"/>
  <c r="Q568" i="18" s="1"/>
  <c r="P567" i="18"/>
  <c r="O567" i="18"/>
  <c r="N567" i="18"/>
  <c r="M567" i="18"/>
  <c r="L567" i="18"/>
  <c r="K567" i="18"/>
  <c r="J567" i="18"/>
  <c r="I567" i="18"/>
  <c r="H567" i="18"/>
  <c r="G567" i="18"/>
  <c r="Q567" i="18" s="1"/>
  <c r="Q566" i="18"/>
  <c r="P566" i="18"/>
  <c r="O566" i="18"/>
  <c r="N566" i="18"/>
  <c r="M566" i="18"/>
  <c r="L566" i="18"/>
  <c r="K566" i="18"/>
  <c r="J566" i="18"/>
  <c r="I566" i="18"/>
  <c r="H566" i="18"/>
  <c r="G566" i="18"/>
  <c r="P565" i="18"/>
  <c r="O565" i="18"/>
  <c r="N565" i="18"/>
  <c r="M565" i="18"/>
  <c r="L565" i="18"/>
  <c r="K565" i="18"/>
  <c r="J565" i="18"/>
  <c r="I565" i="18"/>
  <c r="H565" i="18"/>
  <c r="G565" i="18"/>
  <c r="P564" i="18"/>
  <c r="O564" i="18"/>
  <c r="N564" i="18"/>
  <c r="M564" i="18"/>
  <c r="L564" i="18"/>
  <c r="K564" i="18"/>
  <c r="J564" i="18"/>
  <c r="I564" i="18"/>
  <c r="H564" i="18"/>
  <c r="G564" i="18"/>
  <c r="P563" i="18"/>
  <c r="O563" i="18"/>
  <c r="N563" i="18"/>
  <c r="M563" i="18"/>
  <c r="L563" i="18"/>
  <c r="K563" i="18"/>
  <c r="J563" i="18"/>
  <c r="I563" i="18"/>
  <c r="H563" i="18"/>
  <c r="G563" i="18"/>
  <c r="Q563" i="18" s="1"/>
  <c r="P562" i="18"/>
  <c r="O562" i="18"/>
  <c r="N562" i="18"/>
  <c r="M562" i="18"/>
  <c r="L562" i="18"/>
  <c r="K562" i="18"/>
  <c r="J562" i="18"/>
  <c r="I562" i="18"/>
  <c r="H562" i="18"/>
  <c r="G562" i="18"/>
  <c r="Q562" i="18" s="1"/>
  <c r="P561" i="18"/>
  <c r="O561" i="18"/>
  <c r="N561" i="18"/>
  <c r="M561" i="18"/>
  <c r="L561" i="18"/>
  <c r="K561" i="18"/>
  <c r="J561" i="18"/>
  <c r="I561" i="18"/>
  <c r="H561" i="18"/>
  <c r="G561" i="18"/>
  <c r="P560" i="18"/>
  <c r="O560" i="18"/>
  <c r="N560" i="18"/>
  <c r="M560" i="18"/>
  <c r="L560" i="18"/>
  <c r="K560" i="18"/>
  <c r="J560" i="18"/>
  <c r="I560" i="18"/>
  <c r="H560" i="18"/>
  <c r="G560" i="18"/>
  <c r="Q560" i="18" s="1"/>
  <c r="P559" i="18"/>
  <c r="O559" i="18"/>
  <c r="N559" i="18"/>
  <c r="M559" i="18"/>
  <c r="L559" i="18"/>
  <c r="K559" i="18"/>
  <c r="J559" i="18"/>
  <c r="I559" i="18"/>
  <c r="H559" i="18"/>
  <c r="G559" i="18"/>
  <c r="Q559" i="18" s="1"/>
  <c r="Q558" i="18"/>
  <c r="P558" i="18"/>
  <c r="O558" i="18"/>
  <c r="N558" i="18"/>
  <c r="M558" i="18"/>
  <c r="L558" i="18"/>
  <c r="K558" i="18"/>
  <c r="J558" i="18"/>
  <c r="I558" i="18"/>
  <c r="H558" i="18"/>
  <c r="G558" i="18"/>
  <c r="P557" i="18"/>
  <c r="O557" i="18"/>
  <c r="N557" i="18"/>
  <c r="M557" i="18"/>
  <c r="L557" i="18"/>
  <c r="K557" i="18"/>
  <c r="J557" i="18"/>
  <c r="I557" i="18"/>
  <c r="H557" i="18"/>
  <c r="G557" i="18"/>
  <c r="P556" i="18"/>
  <c r="O556" i="18"/>
  <c r="N556" i="18"/>
  <c r="M556" i="18"/>
  <c r="L556" i="18"/>
  <c r="K556" i="18"/>
  <c r="J556" i="18"/>
  <c r="I556" i="18"/>
  <c r="H556" i="18"/>
  <c r="G556" i="18"/>
  <c r="P555" i="18"/>
  <c r="O555" i="18"/>
  <c r="N555" i="18"/>
  <c r="M555" i="18"/>
  <c r="L555" i="18"/>
  <c r="K555" i="18"/>
  <c r="J555" i="18"/>
  <c r="I555" i="18"/>
  <c r="H555" i="18"/>
  <c r="G555" i="18"/>
  <c r="Q555" i="18" s="1"/>
  <c r="P554" i="18"/>
  <c r="O554" i="18"/>
  <c r="N554" i="18"/>
  <c r="M554" i="18"/>
  <c r="L554" i="18"/>
  <c r="K554" i="18"/>
  <c r="J554" i="18"/>
  <c r="I554" i="18"/>
  <c r="H554" i="18"/>
  <c r="G554" i="18"/>
  <c r="Q554" i="18" s="1"/>
  <c r="P553" i="18"/>
  <c r="O553" i="18"/>
  <c r="N553" i="18"/>
  <c r="M553" i="18"/>
  <c r="L553" i="18"/>
  <c r="K553" i="18"/>
  <c r="J553" i="18"/>
  <c r="I553" i="18"/>
  <c r="H553" i="18"/>
  <c r="G553" i="18"/>
  <c r="P552" i="18"/>
  <c r="O552" i="18"/>
  <c r="N552" i="18"/>
  <c r="M552" i="18"/>
  <c r="L552" i="18"/>
  <c r="K552" i="18"/>
  <c r="J552" i="18"/>
  <c r="I552" i="18"/>
  <c r="H552" i="18"/>
  <c r="G552" i="18"/>
  <c r="Q552" i="18" s="1"/>
  <c r="P551" i="18"/>
  <c r="O551" i="18"/>
  <c r="N551" i="18"/>
  <c r="M551" i="18"/>
  <c r="L551" i="18"/>
  <c r="K551" i="18"/>
  <c r="J551" i="18"/>
  <c r="I551" i="18"/>
  <c r="H551" i="18"/>
  <c r="G551" i="18"/>
  <c r="Q551" i="18" s="1"/>
  <c r="Q550" i="18"/>
  <c r="P550" i="18"/>
  <c r="O550" i="18"/>
  <c r="N550" i="18"/>
  <c r="M550" i="18"/>
  <c r="L550" i="18"/>
  <c r="K550" i="18"/>
  <c r="J550" i="18"/>
  <c r="I550" i="18"/>
  <c r="H550" i="18"/>
  <c r="G550" i="18"/>
  <c r="P549" i="18"/>
  <c r="O549" i="18"/>
  <c r="N549" i="18"/>
  <c r="M549" i="18"/>
  <c r="L549" i="18"/>
  <c r="K549" i="18"/>
  <c r="J549" i="18"/>
  <c r="I549" i="18"/>
  <c r="H549" i="18"/>
  <c r="G549" i="18"/>
  <c r="P548" i="18"/>
  <c r="O548" i="18"/>
  <c r="N548" i="18"/>
  <c r="M548" i="18"/>
  <c r="L548" i="18"/>
  <c r="K548" i="18"/>
  <c r="J548" i="18"/>
  <c r="I548" i="18"/>
  <c r="H548" i="18"/>
  <c r="G548" i="18"/>
  <c r="P547" i="18"/>
  <c r="O547" i="18"/>
  <c r="N547" i="18"/>
  <c r="M547" i="18"/>
  <c r="L547" i="18"/>
  <c r="K547" i="18"/>
  <c r="J547" i="18"/>
  <c r="I547" i="18"/>
  <c r="H547" i="18"/>
  <c r="G547" i="18"/>
  <c r="Q547" i="18" s="1"/>
  <c r="P546" i="18"/>
  <c r="O546" i="18"/>
  <c r="N546" i="18"/>
  <c r="M546" i="18"/>
  <c r="L546" i="18"/>
  <c r="K546" i="18"/>
  <c r="J546" i="18"/>
  <c r="I546" i="18"/>
  <c r="H546" i="18"/>
  <c r="G546" i="18"/>
  <c r="Q546" i="18" s="1"/>
  <c r="P545" i="18"/>
  <c r="O545" i="18"/>
  <c r="N545" i="18"/>
  <c r="M545" i="18"/>
  <c r="L545" i="18"/>
  <c r="K545" i="18"/>
  <c r="J545" i="18"/>
  <c r="I545" i="18"/>
  <c r="H545" i="18"/>
  <c r="G545" i="18"/>
  <c r="P544" i="18"/>
  <c r="O544" i="18"/>
  <c r="N544" i="18"/>
  <c r="M544" i="18"/>
  <c r="L544" i="18"/>
  <c r="K544" i="18"/>
  <c r="J544" i="18"/>
  <c r="I544" i="18"/>
  <c r="H544" i="18"/>
  <c r="G544" i="18"/>
  <c r="Q544" i="18" s="1"/>
  <c r="P543" i="18"/>
  <c r="O543" i="18"/>
  <c r="N543" i="18"/>
  <c r="M543" i="18"/>
  <c r="L543" i="18"/>
  <c r="K543" i="18"/>
  <c r="J543" i="18"/>
  <c r="I543" i="18"/>
  <c r="H543" i="18"/>
  <c r="G543" i="18"/>
  <c r="Q543" i="18" s="1"/>
  <c r="Q542" i="18"/>
  <c r="P542" i="18"/>
  <c r="O542" i="18"/>
  <c r="N542" i="18"/>
  <c r="M542" i="18"/>
  <c r="L542" i="18"/>
  <c r="K542" i="18"/>
  <c r="J542" i="18"/>
  <c r="I542" i="18"/>
  <c r="H542" i="18"/>
  <c r="G542" i="18"/>
  <c r="P541" i="18"/>
  <c r="O541" i="18"/>
  <c r="N541" i="18"/>
  <c r="M541" i="18"/>
  <c r="L541" i="18"/>
  <c r="K541" i="18"/>
  <c r="J541" i="18"/>
  <c r="I541" i="18"/>
  <c r="H541" i="18"/>
  <c r="G541" i="18"/>
  <c r="P540" i="18"/>
  <c r="O540" i="18"/>
  <c r="N540" i="18"/>
  <c r="M540" i="18"/>
  <c r="L540" i="18"/>
  <c r="K540" i="18"/>
  <c r="J540" i="18"/>
  <c r="I540" i="18"/>
  <c r="H540" i="18"/>
  <c r="G540" i="18"/>
  <c r="P539" i="18"/>
  <c r="O539" i="18"/>
  <c r="N539" i="18"/>
  <c r="M539" i="18"/>
  <c r="L539" i="18"/>
  <c r="K539" i="18"/>
  <c r="J539" i="18"/>
  <c r="I539" i="18"/>
  <c r="H539" i="18"/>
  <c r="G539" i="18"/>
  <c r="Q539" i="18" s="1"/>
  <c r="P538" i="18"/>
  <c r="O538" i="18"/>
  <c r="N538" i="18"/>
  <c r="M538" i="18"/>
  <c r="L538" i="18"/>
  <c r="K538" i="18"/>
  <c r="J538" i="18"/>
  <c r="I538" i="18"/>
  <c r="H538" i="18"/>
  <c r="G538" i="18"/>
  <c r="Q538" i="18" s="1"/>
  <c r="P537" i="18"/>
  <c r="O537" i="18"/>
  <c r="N537" i="18"/>
  <c r="M537" i="18"/>
  <c r="L537" i="18"/>
  <c r="K537" i="18"/>
  <c r="J537" i="18"/>
  <c r="I537" i="18"/>
  <c r="H537" i="18"/>
  <c r="G537" i="18"/>
  <c r="P536" i="18"/>
  <c r="O536" i="18"/>
  <c r="N536" i="18"/>
  <c r="M536" i="18"/>
  <c r="L536" i="18"/>
  <c r="K536" i="18"/>
  <c r="J536" i="18"/>
  <c r="I536" i="18"/>
  <c r="H536" i="18"/>
  <c r="G536" i="18"/>
  <c r="Q536" i="18" s="1"/>
  <c r="P535" i="18"/>
  <c r="O535" i="18"/>
  <c r="N535" i="18"/>
  <c r="M535" i="18"/>
  <c r="L535" i="18"/>
  <c r="K535" i="18"/>
  <c r="J535" i="18"/>
  <c r="I535" i="18"/>
  <c r="H535" i="18"/>
  <c r="G535" i="18"/>
  <c r="Q535" i="18" s="1"/>
  <c r="Q534" i="18"/>
  <c r="P534" i="18"/>
  <c r="O534" i="18"/>
  <c r="N534" i="18"/>
  <c r="M534" i="18"/>
  <c r="L534" i="18"/>
  <c r="K534" i="18"/>
  <c r="J534" i="18"/>
  <c r="I534" i="18"/>
  <c r="H534" i="18"/>
  <c r="G534" i="18"/>
  <c r="P533" i="18"/>
  <c r="O533" i="18"/>
  <c r="N533" i="18"/>
  <c r="M533" i="18"/>
  <c r="L533" i="18"/>
  <c r="K533" i="18"/>
  <c r="J533" i="18"/>
  <c r="I533" i="18"/>
  <c r="H533" i="18"/>
  <c r="G533" i="18"/>
  <c r="P532" i="18"/>
  <c r="O532" i="18"/>
  <c r="N532" i="18"/>
  <c r="M532" i="18"/>
  <c r="L532" i="18"/>
  <c r="K532" i="18"/>
  <c r="J532" i="18"/>
  <c r="I532" i="18"/>
  <c r="H532" i="18"/>
  <c r="G532" i="18"/>
  <c r="P531" i="18"/>
  <c r="O531" i="18"/>
  <c r="N531" i="18"/>
  <c r="M531" i="18"/>
  <c r="L531" i="18"/>
  <c r="K531" i="18"/>
  <c r="J531" i="18"/>
  <c r="I531" i="18"/>
  <c r="H531" i="18"/>
  <c r="G531" i="18"/>
  <c r="Q531" i="18" s="1"/>
  <c r="P530" i="18"/>
  <c r="O530" i="18"/>
  <c r="N530" i="18"/>
  <c r="M530" i="18"/>
  <c r="L530" i="18"/>
  <c r="K530" i="18"/>
  <c r="J530" i="18"/>
  <c r="I530" i="18"/>
  <c r="H530" i="18"/>
  <c r="G530" i="18"/>
  <c r="Q530" i="18" s="1"/>
  <c r="P529" i="18"/>
  <c r="O529" i="18"/>
  <c r="N529" i="18"/>
  <c r="M529" i="18"/>
  <c r="L529" i="18"/>
  <c r="K529" i="18"/>
  <c r="J529" i="18"/>
  <c r="I529" i="18"/>
  <c r="H529" i="18"/>
  <c r="G529" i="18"/>
  <c r="P528" i="18"/>
  <c r="O528" i="18"/>
  <c r="N528" i="18"/>
  <c r="M528" i="18"/>
  <c r="L528" i="18"/>
  <c r="K528" i="18"/>
  <c r="J528" i="18"/>
  <c r="I528" i="18"/>
  <c r="H528" i="18"/>
  <c r="G528" i="18"/>
  <c r="Q528" i="18" s="1"/>
  <c r="P527" i="18"/>
  <c r="O527" i="18"/>
  <c r="N527" i="18"/>
  <c r="M527" i="18"/>
  <c r="L527" i="18"/>
  <c r="K527" i="18"/>
  <c r="J527" i="18"/>
  <c r="I527" i="18"/>
  <c r="H527" i="18"/>
  <c r="G527" i="18"/>
  <c r="Q527" i="18" s="1"/>
  <c r="Q526" i="18"/>
  <c r="P526" i="18"/>
  <c r="O526" i="18"/>
  <c r="N526" i="18"/>
  <c r="M526" i="18"/>
  <c r="L526" i="18"/>
  <c r="K526" i="18"/>
  <c r="J526" i="18"/>
  <c r="I526" i="18"/>
  <c r="H526" i="18"/>
  <c r="G526" i="18"/>
  <c r="P525" i="18"/>
  <c r="O525" i="18"/>
  <c r="N525" i="18"/>
  <c r="M525" i="18"/>
  <c r="L525" i="18"/>
  <c r="K525" i="18"/>
  <c r="J525" i="18"/>
  <c r="I525" i="18"/>
  <c r="H525" i="18"/>
  <c r="G525" i="18"/>
  <c r="P524" i="18"/>
  <c r="O524" i="18"/>
  <c r="N524" i="18"/>
  <c r="M524" i="18"/>
  <c r="L524" i="18"/>
  <c r="K524" i="18"/>
  <c r="J524" i="18"/>
  <c r="I524" i="18"/>
  <c r="H524" i="18"/>
  <c r="G524" i="18"/>
  <c r="P523" i="18"/>
  <c r="O523" i="18"/>
  <c r="N523" i="18"/>
  <c r="M523" i="18"/>
  <c r="L523" i="18"/>
  <c r="K523" i="18"/>
  <c r="J523" i="18"/>
  <c r="I523" i="18"/>
  <c r="H523" i="18"/>
  <c r="G523" i="18"/>
  <c r="Q523" i="18" s="1"/>
  <c r="P522" i="18"/>
  <c r="O522" i="18"/>
  <c r="N522" i="18"/>
  <c r="M522" i="18"/>
  <c r="L522" i="18"/>
  <c r="K522" i="18"/>
  <c r="J522" i="18"/>
  <c r="I522" i="18"/>
  <c r="H522" i="18"/>
  <c r="G522" i="18"/>
  <c r="Q522" i="18" s="1"/>
  <c r="P521" i="18"/>
  <c r="O521" i="18"/>
  <c r="N521" i="18"/>
  <c r="M521" i="18"/>
  <c r="L521" i="18"/>
  <c r="K521" i="18"/>
  <c r="J521" i="18"/>
  <c r="I521" i="18"/>
  <c r="H521" i="18"/>
  <c r="G521" i="18"/>
  <c r="P520" i="18"/>
  <c r="O520" i="18"/>
  <c r="N520" i="18"/>
  <c r="M520" i="18"/>
  <c r="L520" i="18"/>
  <c r="K520" i="18"/>
  <c r="J520" i="18"/>
  <c r="I520" i="18"/>
  <c r="H520" i="18"/>
  <c r="G520" i="18"/>
  <c r="Q520" i="18" s="1"/>
  <c r="P519" i="18"/>
  <c r="O519" i="18"/>
  <c r="N519" i="18"/>
  <c r="M519" i="18"/>
  <c r="L519" i="18"/>
  <c r="K519" i="18"/>
  <c r="J519" i="18"/>
  <c r="I519" i="18"/>
  <c r="H519" i="18"/>
  <c r="G519" i="18"/>
  <c r="Q519" i="18" s="1"/>
  <c r="Q518" i="18"/>
  <c r="P518" i="18"/>
  <c r="O518" i="18"/>
  <c r="N518" i="18"/>
  <c r="M518" i="18"/>
  <c r="L518" i="18"/>
  <c r="K518" i="18"/>
  <c r="J518" i="18"/>
  <c r="I518" i="18"/>
  <c r="H518" i="18"/>
  <c r="G518" i="18"/>
  <c r="P517" i="18"/>
  <c r="O517" i="18"/>
  <c r="N517" i="18"/>
  <c r="M517" i="18"/>
  <c r="L517" i="18"/>
  <c r="K517" i="18"/>
  <c r="J517" i="18"/>
  <c r="I517" i="18"/>
  <c r="H517" i="18"/>
  <c r="G517" i="18"/>
  <c r="P516" i="18"/>
  <c r="O516" i="18"/>
  <c r="N516" i="18"/>
  <c r="M516" i="18"/>
  <c r="L516" i="18"/>
  <c r="K516" i="18"/>
  <c r="J516" i="18"/>
  <c r="I516" i="18"/>
  <c r="H516" i="18"/>
  <c r="G516" i="18"/>
  <c r="P515" i="18"/>
  <c r="O515" i="18"/>
  <c r="N515" i="18"/>
  <c r="M515" i="18"/>
  <c r="L515" i="18"/>
  <c r="K515" i="18"/>
  <c r="J515" i="18"/>
  <c r="I515" i="18"/>
  <c r="H515" i="18"/>
  <c r="G515" i="18"/>
  <c r="Q515" i="18" s="1"/>
  <c r="P514" i="18"/>
  <c r="O514" i="18"/>
  <c r="N514" i="18"/>
  <c r="M514" i="18"/>
  <c r="L514" i="18"/>
  <c r="K514" i="18"/>
  <c r="J514" i="18"/>
  <c r="I514" i="18"/>
  <c r="H514" i="18"/>
  <c r="G514" i="18"/>
  <c r="Q514" i="18" s="1"/>
  <c r="P513" i="18"/>
  <c r="O513" i="18"/>
  <c r="N513" i="18"/>
  <c r="M513" i="18"/>
  <c r="L513" i="18"/>
  <c r="K513" i="18"/>
  <c r="J513" i="18"/>
  <c r="I513" i="18"/>
  <c r="H513" i="18"/>
  <c r="G513" i="18"/>
  <c r="P512" i="18"/>
  <c r="O512" i="18"/>
  <c r="N512" i="18"/>
  <c r="M512" i="18"/>
  <c r="L512" i="18"/>
  <c r="K512" i="18"/>
  <c r="J512" i="18"/>
  <c r="I512" i="18"/>
  <c r="H512" i="18"/>
  <c r="G512" i="18"/>
  <c r="Q512" i="18" s="1"/>
  <c r="P511" i="18"/>
  <c r="O511" i="18"/>
  <c r="N511" i="18"/>
  <c r="M511" i="18"/>
  <c r="L511" i="18"/>
  <c r="K511" i="18"/>
  <c r="J511" i="18"/>
  <c r="I511" i="18"/>
  <c r="H511" i="18"/>
  <c r="G511" i="18"/>
  <c r="Q511" i="18" s="1"/>
  <c r="Q510" i="18"/>
  <c r="P510" i="18"/>
  <c r="O510" i="18"/>
  <c r="N510" i="18"/>
  <c r="M510" i="18"/>
  <c r="L510" i="18"/>
  <c r="K510" i="18"/>
  <c r="J510" i="18"/>
  <c r="I510" i="18"/>
  <c r="H510" i="18"/>
  <c r="G510" i="18"/>
  <c r="P509" i="18"/>
  <c r="O509" i="18"/>
  <c r="N509" i="18"/>
  <c r="M509" i="18"/>
  <c r="L509" i="18"/>
  <c r="K509" i="18"/>
  <c r="J509" i="18"/>
  <c r="I509" i="18"/>
  <c r="H509" i="18"/>
  <c r="G509" i="18"/>
  <c r="P508" i="18"/>
  <c r="O508" i="18"/>
  <c r="N508" i="18"/>
  <c r="M508" i="18"/>
  <c r="L508" i="18"/>
  <c r="K508" i="18"/>
  <c r="J508" i="18"/>
  <c r="I508" i="18"/>
  <c r="H508" i="18"/>
  <c r="G508" i="18"/>
  <c r="P507" i="18"/>
  <c r="O507" i="18"/>
  <c r="N507" i="18"/>
  <c r="M507" i="18"/>
  <c r="L507" i="18"/>
  <c r="K507" i="18"/>
  <c r="J507" i="18"/>
  <c r="I507" i="18"/>
  <c r="H507" i="18"/>
  <c r="G507" i="18"/>
  <c r="Q507" i="18" s="1"/>
  <c r="P506" i="18"/>
  <c r="O506" i="18"/>
  <c r="N506" i="18"/>
  <c r="M506" i="18"/>
  <c r="L506" i="18"/>
  <c r="K506" i="18"/>
  <c r="J506" i="18"/>
  <c r="I506" i="18"/>
  <c r="H506" i="18"/>
  <c r="G506" i="18"/>
  <c r="Q506" i="18" s="1"/>
  <c r="P505" i="18"/>
  <c r="O505" i="18"/>
  <c r="N505" i="18"/>
  <c r="M505" i="18"/>
  <c r="L505" i="18"/>
  <c r="K505" i="18"/>
  <c r="J505" i="18"/>
  <c r="I505" i="18"/>
  <c r="H505" i="18"/>
  <c r="G505" i="18"/>
  <c r="P504" i="18"/>
  <c r="O504" i="18"/>
  <c r="N504" i="18"/>
  <c r="M504" i="18"/>
  <c r="L504" i="18"/>
  <c r="K504" i="18"/>
  <c r="J504" i="18"/>
  <c r="I504" i="18"/>
  <c r="H504" i="18"/>
  <c r="G504" i="18"/>
  <c r="Q504" i="18" s="1"/>
  <c r="P503" i="18"/>
  <c r="O503" i="18"/>
  <c r="N503" i="18"/>
  <c r="M503" i="18"/>
  <c r="L503" i="18"/>
  <c r="K503" i="18"/>
  <c r="J503" i="18"/>
  <c r="I503" i="18"/>
  <c r="H503" i="18"/>
  <c r="G503" i="18"/>
  <c r="Q503" i="18" s="1"/>
  <c r="Q502" i="18"/>
  <c r="P502" i="18"/>
  <c r="O502" i="18"/>
  <c r="N502" i="18"/>
  <c r="M502" i="18"/>
  <c r="L502" i="18"/>
  <c r="K502" i="18"/>
  <c r="J502" i="18"/>
  <c r="I502" i="18"/>
  <c r="H502" i="18"/>
  <c r="G502" i="18"/>
  <c r="P501" i="18"/>
  <c r="O501" i="18"/>
  <c r="N501" i="18"/>
  <c r="M501" i="18"/>
  <c r="L501" i="18"/>
  <c r="K501" i="18"/>
  <c r="J501" i="18"/>
  <c r="I501" i="18"/>
  <c r="H501" i="18"/>
  <c r="G501" i="18"/>
  <c r="P500" i="18"/>
  <c r="O500" i="18"/>
  <c r="N500" i="18"/>
  <c r="M500" i="18"/>
  <c r="L500" i="18"/>
  <c r="K500" i="18"/>
  <c r="J500" i="18"/>
  <c r="I500" i="18"/>
  <c r="H500" i="18"/>
  <c r="G500" i="18"/>
  <c r="P499" i="18"/>
  <c r="O499" i="18"/>
  <c r="N499" i="18"/>
  <c r="M499" i="18"/>
  <c r="L499" i="18"/>
  <c r="K499" i="18"/>
  <c r="J499" i="18"/>
  <c r="I499" i="18"/>
  <c r="H499" i="18"/>
  <c r="G499" i="18"/>
  <c r="Q499" i="18" s="1"/>
  <c r="P498" i="18"/>
  <c r="O498" i="18"/>
  <c r="N498" i="18"/>
  <c r="M498" i="18"/>
  <c r="L498" i="18"/>
  <c r="K498" i="18"/>
  <c r="J498" i="18"/>
  <c r="I498" i="18"/>
  <c r="H498" i="18"/>
  <c r="G498" i="18"/>
  <c r="Q498" i="18" s="1"/>
  <c r="P497" i="18"/>
  <c r="O497" i="18"/>
  <c r="N497" i="18"/>
  <c r="M497" i="18"/>
  <c r="L497" i="18"/>
  <c r="K497" i="18"/>
  <c r="J497" i="18"/>
  <c r="I497" i="18"/>
  <c r="H497" i="18"/>
  <c r="G497" i="18"/>
  <c r="P496" i="18"/>
  <c r="O496" i="18"/>
  <c r="N496" i="18"/>
  <c r="M496" i="18"/>
  <c r="L496" i="18"/>
  <c r="K496" i="18"/>
  <c r="J496" i="18"/>
  <c r="I496" i="18"/>
  <c r="H496" i="18"/>
  <c r="G496" i="18"/>
  <c r="Q496" i="18" s="1"/>
  <c r="P495" i="18"/>
  <c r="O495" i="18"/>
  <c r="N495" i="18"/>
  <c r="M495" i="18"/>
  <c r="L495" i="18"/>
  <c r="K495" i="18"/>
  <c r="J495" i="18"/>
  <c r="I495" i="18"/>
  <c r="H495" i="18"/>
  <c r="G495" i="18"/>
  <c r="Q495" i="18" s="1"/>
  <c r="Q494" i="18"/>
  <c r="P494" i="18"/>
  <c r="O494" i="18"/>
  <c r="N494" i="18"/>
  <c r="M494" i="18"/>
  <c r="L494" i="18"/>
  <c r="K494" i="18"/>
  <c r="J494" i="18"/>
  <c r="I494" i="18"/>
  <c r="H494" i="18"/>
  <c r="G494" i="18"/>
  <c r="P493" i="18"/>
  <c r="O493" i="18"/>
  <c r="N493" i="18"/>
  <c r="M493" i="18"/>
  <c r="L493" i="18"/>
  <c r="K493" i="18"/>
  <c r="J493" i="18"/>
  <c r="I493" i="18"/>
  <c r="H493" i="18"/>
  <c r="G493" i="18"/>
  <c r="P492" i="18"/>
  <c r="O492" i="18"/>
  <c r="N492" i="18"/>
  <c r="M492" i="18"/>
  <c r="L492" i="18"/>
  <c r="K492" i="18"/>
  <c r="J492" i="18"/>
  <c r="I492" i="18"/>
  <c r="H492" i="18"/>
  <c r="G492" i="18"/>
  <c r="P491" i="18"/>
  <c r="O491" i="18"/>
  <c r="N491" i="18"/>
  <c r="M491" i="18"/>
  <c r="L491" i="18"/>
  <c r="K491" i="18"/>
  <c r="J491" i="18"/>
  <c r="I491" i="18"/>
  <c r="H491" i="18"/>
  <c r="G491" i="18"/>
  <c r="Q491" i="18" s="1"/>
  <c r="P490" i="18"/>
  <c r="O490" i="18"/>
  <c r="N490" i="18"/>
  <c r="M490" i="18"/>
  <c r="L490" i="18"/>
  <c r="K490" i="18"/>
  <c r="J490" i="18"/>
  <c r="I490" i="18"/>
  <c r="H490" i="18"/>
  <c r="G490" i="18"/>
  <c r="Q490" i="18" s="1"/>
  <c r="P489" i="18"/>
  <c r="O489" i="18"/>
  <c r="N489" i="18"/>
  <c r="M489" i="18"/>
  <c r="L489" i="18"/>
  <c r="K489" i="18"/>
  <c r="J489" i="18"/>
  <c r="I489" i="18"/>
  <c r="H489" i="18"/>
  <c r="G489" i="18"/>
  <c r="P488" i="18"/>
  <c r="O488" i="18"/>
  <c r="N488" i="18"/>
  <c r="M488" i="18"/>
  <c r="L488" i="18"/>
  <c r="K488" i="18"/>
  <c r="J488" i="18"/>
  <c r="I488" i="18"/>
  <c r="H488" i="18"/>
  <c r="G488" i="18"/>
  <c r="Q488" i="18" s="1"/>
  <c r="P487" i="18"/>
  <c r="O487" i="18"/>
  <c r="N487" i="18"/>
  <c r="M487" i="18"/>
  <c r="L487" i="18"/>
  <c r="K487" i="18"/>
  <c r="J487" i="18"/>
  <c r="I487" i="18"/>
  <c r="H487" i="18"/>
  <c r="G487" i="18"/>
  <c r="Q487" i="18" s="1"/>
  <c r="Q486" i="18"/>
  <c r="P486" i="18"/>
  <c r="O486" i="18"/>
  <c r="N486" i="18"/>
  <c r="M486" i="18"/>
  <c r="L486" i="18"/>
  <c r="K486" i="18"/>
  <c r="J486" i="18"/>
  <c r="I486" i="18"/>
  <c r="H486" i="18"/>
  <c r="G486" i="18"/>
  <c r="P485" i="18"/>
  <c r="O485" i="18"/>
  <c r="N485" i="18"/>
  <c r="M485" i="18"/>
  <c r="L485" i="18"/>
  <c r="K485" i="18"/>
  <c r="J485" i="18"/>
  <c r="I485" i="18"/>
  <c r="H485" i="18"/>
  <c r="G485" i="18"/>
  <c r="P484" i="18"/>
  <c r="O484" i="18"/>
  <c r="N484" i="18"/>
  <c r="M484" i="18"/>
  <c r="L484" i="18"/>
  <c r="K484" i="18"/>
  <c r="J484" i="18"/>
  <c r="I484" i="18"/>
  <c r="H484" i="18"/>
  <c r="G484" i="18"/>
  <c r="P483" i="18"/>
  <c r="O483" i="18"/>
  <c r="N483" i="18"/>
  <c r="M483" i="18"/>
  <c r="L483" i="18"/>
  <c r="K483" i="18"/>
  <c r="J483" i="18"/>
  <c r="I483" i="18"/>
  <c r="H483" i="18"/>
  <c r="G483" i="18"/>
  <c r="Q483" i="18" s="1"/>
  <c r="P482" i="18"/>
  <c r="O482" i="18"/>
  <c r="N482" i="18"/>
  <c r="M482" i="18"/>
  <c r="L482" i="18"/>
  <c r="K482" i="18"/>
  <c r="J482" i="18"/>
  <c r="I482" i="18"/>
  <c r="H482" i="18"/>
  <c r="G482" i="18"/>
  <c r="Q482" i="18" s="1"/>
  <c r="P481" i="18"/>
  <c r="O481" i="18"/>
  <c r="N481" i="18"/>
  <c r="M481" i="18"/>
  <c r="L481" i="18"/>
  <c r="K481" i="18"/>
  <c r="J481" i="18"/>
  <c r="I481" i="18"/>
  <c r="H481" i="18"/>
  <c r="G481" i="18"/>
  <c r="P480" i="18"/>
  <c r="O480" i="18"/>
  <c r="N480" i="18"/>
  <c r="M480" i="18"/>
  <c r="L480" i="18"/>
  <c r="K480" i="18"/>
  <c r="J480" i="18"/>
  <c r="I480" i="18"/>
  <c r="H480" i="18"/>
  <c r="G480" i="18"/>
  <c r="Q480" i="18" s="1"/>
  <c r="P479" i="18"/>
  <c r="O479" i="18"/>
  <c r="N479" i="18"/>
  <c r="M479" i="18"/>
  <c r="L479" i="18"/>
  <c r="K479" i="18"/>
  <c r="J479" i="18"/>
  <c r="I479" i="18"/>
  <c r="H479" i="18"/>
  <c r="G479" i="18"/>
  <c r="Q479" i="18" s="1"/>
  <c r="Q478" i="18"/>
  <c r="P478" i="18"/>
  <c r="O478" i="18"/>
  <c r="N478" i="18"/>
  <c r="M478" i="18"/>
  <c r="L478" i="18"/>
  <c r="K478" i="18"/>
  <c r="J478" i="18"/>
  <c r="I478" i="18"/>
  <c r="H478" i="18"/>
  <c r="G478" i="18"/>
  <c r="P477" i="18"/>
  <c r="O477" i="18"/>
  <c r="N477" i="18"/>
  <c r="M477" i="18"/>
  <c r="L477" i="18"/>
  <c r="K477" i="18"/>
  <c r="J477" i="18"/>
  <c r="I477" i="18"/>
  <c r="H477" i="18"/>
  <c r="G477" i="18"/>
  <c r="P476" i="18"/>
  <c r="O476" i="18"/>
  <c r="N476" i="18"/>
  <c r="M476" i="18"/>
  <c r="L476" i="18"/>
  <c r="K476" i="18"/>
  <c r="J476" i="18"/>
  <c r="I476" i="18"/>
  <c r="H476" i="18"/>
  <c r="G476" i="18"/>
  <c r="P475" i="18"/>
  <c r="O475" i="18"/>
  <c r="N475" i="18"/>
  <c r="M475" i="18"/>
  <c r="L475" i="18"/>
  <c r="K475" i="18"/>
  <c r="J475" i="18"/>
  <c r="I475" i="18"/>
  <c r="H475" i="18"/>
  <c r="G475" i="18"/>
  <c r="Q475" i="18" s="1"/>
  <c r="P474" i="18"/>
  <c r="O474" i="18"/>
  <c r="N474" i="18"/>
  <c r="M474" i="18"/>
  <c r="L474" i="18"/>
  <c r="K474" i="18"/>
  <c r="J474" i="18"/>
  <c r="I474" i="18"/>
  <c r="H474" i="18"/>
  <c r="G474" i="18"/>
  <c r="Q474" i="18" s="1"/>
  <c r="P473" i="18"/>
  <c r="O473" i="18"/>
  <c r="N473" i="18"/>
  <c r="M473" i="18"/>
  <c r="L473" i="18"/>
  <c r="K473" i="18"/>
  <c r="J473" i="18"/>
  <c r="I473" i="18"/>
  <c r="H473" i="18"/>
  <c r="G473" i="18"/>
  <c r="P472" i="18"/>
  <c r="O472" i="18"/>
  <c r="N472" i="18"/>
  <c r="M472" i="18"/>
  <c r="L472" i="18"/>
  <c r="K472" i="18"/>
  <c r="J472" i="18"/>
  <c r="I472" i="18"/>
  <c r="H472" i="18"/>
  <c r="G472" i="18"/>
  <c r="Q472" i="18" s="1"/>
  <c r="P471" i="18"/>
  <c r="O471" i="18"/>
  <c r="N471" i="18"/>
  <c r="M471" i="18"/>
  <c r="L471" i="18"/>
  <c r="K471" i="18"/>
  <c r="J471" i="18"/>
  <c r="I471" i="18"/>
  <c r="H471" i="18"/>
  <c r="G471" i="18"/>
  <c r="Q471" i="18" s="1"/>
  <c r="Q470" i="18"/>
  <c r="P470" i="18"/>
  <c r="O470" i="18"/>
  <c r="N470" i="18"/>
  <c r="M470" i="18"/>
  <c r="L470" i="18"/>
  <c r="K470" i="18"/>
  <c r="J470" i="18"/>
  <c r="I470" i="18"/>
  <c r="H470" i="18"/>
  <c r="G470" i="18"/>
  <c r="P469" i="18"/>
  <c r="O469" i="18"/>
  <c r="N469" i="18"/>
  <c r="M469" i="18"/>
  <c r="L469" i="18"/>
  <c r="K469" i="18"/>
  <c r="J469" i="18"/>
  <c r="I469" i="18"/>
  <c r="H469" i="18"/>
  <c r="G469" i="18"/>
  <c r="P468" i="18"/>
  <c r="O468" i="18"/>
  <c r="N468" i="18"/>
  <c r="M468" i="18"/>
  <c r="L468" i="18"/>
  <c r="K468" i="18"/>
  <c r="J468" i="18"/>
  <c r="I468" i="18"/>
  <c r="H468" i="18"/>
  <c r="G468" i="18"/>
  <c r="P467" i="18"/>
  <c r="O467" i="18"/>
  <c r="N467" i="18"/>
  <c r="M467" i="18"/>
  <c r="L467" i="18"/>
  <c r="K467" i="18"/>
  <c r="J467" i="18"/>
  <c r="I467" i="18"/>
  <c r="H467" i="18"/>
  <c r="G467" i="18"/>
  <c r="Q467" i="18" s="1"/>
  <c r="P466" i="18"/>
  <c r="O466" i="18"/>
  <c r="N466" i="18"/>
  <c r="M466" i="18"/>
  <c r="L466" i="18"/>
  <c r="K466" i="18"/>
  <c r="J466" i="18"/>
  <c r="I466" i="18"/>
  <c r="H466" i="18"/>
  <c r="G466" i="18"/>
  <c r="Q466" i="18" s="1"/>
  <c r="P465" i="18"/>
  <c r="O465" i="18"/>
  <c r="N465" i="18"/>
  <c r="M465" i="18"/>
  <c r="L465" i="18"/>
  <c r="K465" i="18"/>
  <c r="J465" i="18"/>
  <c r="I465" i="18"/>
  <c r="H465" i="18"/>
  <c r="G465" i="18"/>
  <c r="P464" i="18"/>
  <c r="O464" i="18"/>
  <c r="N464" i="18"/>
  <c r="M464" i="18"/>
  <c r="L464" i="18"/>
  <c r="K464" i="18"/>
  <c r="J464" i="18"/>
  <c r="I464" i="18"/>
  <c r="H464" i="18"/>
  <c r="G464" i="18"/>
  <c r="Q464" i="18" s="1"/>
  <c r="P463" i="18"/>
  <c r="O463" i="18"/>
  <c r="N463" i="18"/>
  <c r="M463" i="18"/>
  <c r="L463" i="18"/>
  <c r="K463" i="18"/>
  <c r="J463" i="18"/>
  <c r="I463" i="18"/>
  <c r="H463" i="18"/>
  <c r="G463" i="18"/>
  <c r="Q463" i="18" s="1"/>
  <c r="Q462" i="18"/>
  <c r="P462" i="18"/>
  <c r="O462" i="18"/>
  <c r="N462" i="18"/>
  <c r="M462" i="18"/>
  <c r="L462" i="18"/>
  <c r="K462" i="18"/>
  <c r="J462" i="18"/>
  <c r="I462" i="18"/>
  <c r="H462" i="18"/>
  <c r="G462" i="18"/>
  <c r="P461" i="18"/>
  <c r="O461" i="18"/>
  <c r="N461" i="18"/>
  <c r="M461" i="18"/>
  <c r="L461" i="18"/>
  <c r="K461" i="18"/>
  <c r="J461" i="18"/>
  <c r="I461" i="18"/>
  <c r="H461" i="18"/>
  <c r="G461" i="18"/>
  <c r="P460" i="18"/>
  <c r="O460" i="18"/>
  <c r="N460" i="18"/>
  <c r="M460" i="18"/>
  <c r="L460" i="18"/>
  <c r="K460" i="18"/>
  <c r="J460" i="18"/>
  <c r="I460" i="18"/>
  <c r="H460" i="18"/>
  <c r="G460" i="18"/>
  <c r="P459" i="18"/>
  <c r="O459" i="18"/>
  <c r="N459" i="18"/>
  <c r="M459" i="18"/>
  <c r="L459" i="18"/>
  <c r="K459" i="18"/>
  <c r="J459" i="18"/>
  <c r="I459" i="18"/>
  <c r="H459" i="18"/>
  <c r="G459" i="18"/>
  <c r="Q459" i="18" s="1"/>
  <c r="P458" i="18"/>
  <c r="O458" i="18"/>
  <c r="N458" i="18"/>
  <c r="M458" i="18"/>
  <c r="L458" i="18"/>
  <c r="K458" i="18"/>
  <c r="J458" i="18"/>
  <c r="I458" i="18"/>
  <c r="H458" i="18"/>
  <c r="G458" i="18"/>
  <c r="Q458" i="18" s="1"/>
  <c r="P457" i="18"/>
  <c r="O457" i="18"/>
  <c r="N457" i="18"/>
  <c r="M457" i="18"/>
  <c r="L457" i="18"/>
  <c r="K457" i="18"/>
  <c r="J457" i="18"/>
  <c r="I457" i="18"/>
  <c r="H457" i="18"/>
  <c r="G457" i="18"/>
  <c r="P456" i="18"/>
  <c r="O456" i="18"/>
  <c r="N456" i="18"/>
  <c r="M456" i="18"/>
  <c r="L456" i="18"/>
  <c r="K456" i="18"/>
  <c r="J456" i="18"/>
  <c r="I456" i="18"/>
  <c r="H456" i="18"/>
  <c r="G456" i="18"/>
  <c r="Q456" i="18" s="1"/>
  <c r="P455" i="18"/>
  <c r="O455" i="18"/>
  <c r="N455" i="18"/>
  <c r="M455" i="18"/>
  <c r="L455" i="18"/>
  <c r="K455" i="18"/>
  <c r="J455" i="18"/>
  <c r="I455" i="18"/>
  <c r="H455" i="18"/>
  <c r="G455" i="18"/>
  <c r="Q455" i="18" s="1"/>
  <c r="Q454" i="18"/>
  <c r="P454" i="18"/>
  <c r="O454" i="18"/>
  <c r="N454" i="18"/>
  <c r="M454" i="18"/>
  <c r="L454" i="18"/>
  <c r="K454" i="18"/>
  <c r="J454" i="18"/>
  <c r="I454" i="18"/>
  <c r="H454" i="18"/>
  <c r="G454" i="18"/>
  <c r="P453" i="18"/>
  <c r="O453" i="18"/>
  <c r="N453" i="18"/>
  <c r="M453" i="18"/>
  <c r="L453" i="18"/>
  <c r="K453" i="18"/>
  <c r="J453" i="18"/>
  <c r="I453" i="18"/>
  <c r="H453" i="18"/>
  <c r="G453" i="18"/>
  <c r="P452" i="18"/>
  <c r="O452" i="18"/>
  <c r="N452" i="18"/>
  <c r="M452" i="18"/>
  <c r="L452" i="18"/>
  <c r="K452" i="18"/>
  <c r="J452" i="18"/>
  <c r="I452" i="18"/>
  <c r="H452" i="18"/>
  <c r="G452" i="18"/>
  <c r="P451" i="18"/>
  <c r="O451" i="18"/>
  <c r="N451" i="18"/>
  <c r="M451" i="18"/>
  <c r="L451" i="18"/>
  <c r="K451" i="18"/>
  <c r="J451" i="18"/>
  <c r="I451" i="18"/>
  <c r="H451" i="18"/>
  <c r="G451" i="18"/>
  <c r="Q451" i="18" s="1"/>
  <c r="P450" i="18"/>
  <c r="O450" i="18"/>
  <c r="N450" i="18"/>
  <c r="M450" i="18"/>
  <c r="L450" i="18"/>
  <c r="K450" i="18"/>
  <c r="J450" i="18"/>
  <c r="I450" i="18"/>
  <c r="H450" i="18"/>
  <c r="G450" i="18"/>
  <c r="Q450" i="18" s="1"/>
  <c r="P449" i="18"/>
  <c r="O449" i="18"/>
  <c r="N449" i="18"/>
  <c r="M449" i="18"/>
  <c r="L449" i="18"/>
  <c r="K449" i="18"/>
  <c r="J449" i="18"/>
  <c r="I449" i="18"/>
  <c r="H449" i="18"/>
  <c r="G449" i="18"/>
  <c r="P448" i="18"/>
  <c r="O448" i="18"/>
  <c r="N448" i="18"/>
  <c r="M448" i="18"/>
  <c r="L448" i="18"/>
  <c r="K448" i="18"/>
  <c r="J448" i="18"/>
  <c r="I448" i="18"/>
  <c r="H448" i="18"/>
  <c r="G448" i="18"/>
  <c r="Q448" i="18" s="1"/>
  <c r="P447" i="18"/>
  <c r="O447" i="18"/>
  <c r="N447" i="18"/>
  <c r="M447" i="18"/>
  <c r="L447" i="18"/>
  <c r="K447" i="18"/>
  <c r="J447" i="18"/>
  <c r="I447" i="18"/>
  <c r="H447" i="18"/>
  <c r="G447" i="18"/>
  <c r="Q447" i="18" s="1"/>
  <c r="Q446" i="18"/>
  <c r="P446" i="18"/>
  <c r="O446" i="18"/>
  <c r="N446" i="18"/>
  <c r="M446" i="18"/>
  <c r="L446" i="18"/>
  <c r="K446" i="18"/>
  <c r="J446" i="18"/>
  <c r="I446" i="18"/>
  <c r="H446" i="18"/>
  <c r="G446" i="18"/>
  <c r="P445" i="18"/>
  <c r="O445" i="18"/>
  <c r="N445" i="18"/>
  <c r="M445" i="18"/>
  <c r="L445" i="18"/>
  <c r="K445" i="18"/>
  <c r="J445" i="18"/>
  <c r="I445" i="18"/>
  <c r="H445" i="18"/>
  <c r="G445" i="18"/>
  <c r="P444" i="18"/>
  <c r="O444" i="18"/>
  <c r="N444" i="18"/>
  <c r="M444" i="18"/>
  <c r="L444" i="18"/>
  <c r="K444" i="18"/>
  <c r="J444" i="18"/>
  <c r="I444" i="18"/>
  <c r="H444" i="18"/>
  <c r="G444" i="18"/>
  <c r="P443" i="18"/>
  <c r="O443" i="18"/>
  <c r="N443" i="18"/>
  <c r="M443" i="18"/>
  <c r="L443" i="18"/>
  <c r="K443" i="18"/>
  <c r="J443" i="18"/>
  <c r="I443" i="18"/>
  <c r="H443" i="18"/>
  <c r="G443" i="18"/>
  <c r="Q443" i="18" s="1"/>
  <c r="P442" i="18"/>
  <c r="O442" i="18"/>
  <c r="N442" i="18"/>
  <c r="M442" i="18"/>
  <c r="L442" i="18"/>
  <c r="K442" i="18"/>
  <c r="J442" i="18"/>
  <c r="I442" i="18"/>
  <c r="H442" i="18"/>
  <c r="G442" i="18"/>
  <c r="Q442" i="18" s="1"/>
  <c r="P441" i="18"/>
  <c r="O441" i="18"/>
  <c r="N441" i="18"/>
  <c r="M441" i="18"/>
  <c r="L441" i="18"/>
  <c r="K441" i="18"/>
  <c r="J441" i="18"/>
  <c r="I441" i="18"/>
  <c r="H441" i="18"/>
  <c r="G441" i="18"/>
  <c r="P440" i="18"/>
  <c r="O440" i="18"/>
  <c r="N440" i="18"/>
  <c r="M440" i="18"/>
  <c r="L440" i="18"/>
  <c r="K440" i="18"/>
  <c r="J440" i="18"/>
  <c r="I440" i="18"/>
  <c r="H440" i="18"/>
  <c r="G440" i="18"/>
  <c r="Q440" i="18" s="1"/>
  <c r="P439" i="18"/>
  <c r="O439" i="18"/>
  <c r="N439" i="18"/>
  <c r="M439" i="18"/>
  <c r="L439" i="18"/>
  <c r="K439" i="18"/>
  <c r="J439" i="18"/>
  <c r="I439" i="18"/>
  <c r="H439" i="18"/>
  <c r="G439" i="18"/>
  <c r="Q439" i="18" s="1"/>
  <c r="Q438" i="18"/>
  <c r="P438" i="18"/>
  <c r="O438" i="18"/>
  <c r="N438" i="18"/>
  <c r="M438" i="18"/>
  <c r="L438" i="18"/>
  <c r="K438" i="18"/>
  <c r="J438" i="18"/>
  <c r="I438" i="18"/>
  <c r="H438" i="18"/>
  <c r="G438" i="18"/>
  <c r="P437" i="18"/>
  <c r="O437" i="18"/>
  <c r="N437" i="18"/>
  <c r="M437" i="18"/>
  <c r="L437" i="18"/>
  <c r="K437" i="18"/>
  <c r="J437" i="18"/>
  <c r="I437" i="18"/>
  <c r="H437" i="18"/>
  <c r="G437" i="18"/>
  <c r="P436" i="18"/>
  <c r="O436" i="18"/>
  <c r="N436" i="18"/>
  <c r="M436" i="18"/>
  <c r="L436" i="18"/>
  <c r="K436" i="18"/>
  <c r="J436" i="18"/>
  <c r="I436" i="18"/>
  <c r="H436" i="18"/>
  <c r="G436" i="18"/>
  <c r="P435" i="18"/>
  <c r="O435" i="18"/>
  <c r="N435" i="18"/>
  <c r="M435" i="18"/>
  <c r="L435" i="18"/>
  <c r="K435" i="18"/>
  <c r="J435" i="18"/>
  <c r="I435" i="18"/>
  <c r="H435" i="18"/>
  <c r="G435" i="18"/>
  <c r="Q435" i="18" s="1"/>
  <c r="P434" i="18"/>
  <c r="O434" i="18"/>
  <c r="N434" i="18"/>
  <c r="M434" i="18"/>
  <c r="L434" i="18"/>
  <c r="K434" i="18"/>
  <c r="J434" i="18"/>
  <c r="I434" i="18"/>
  <c r="H434" i="18"/>
  <c r="G434" i="18"/>
  <c r="Q434" i="18" s="1"/>
  <c r="P433" i="18"/>
  <c r="O433" i="18"/>
  <c r="N433" i="18"/>
  <c r="M433" i="18"/>
  <c r="L433" i="18"/>
  <c r="K433" i="18"/>
  <c r="J433" i="18"/>
  <c r="I433" i="18"/>
  <c r="H433" i="18"/>
  <c r="G433" i="18"/>
  <c r="P432" i="18"/>
  <c r="O432" i="18"/>
  <c r="N432" i="18"/>
  <c r="M432" i="18"/>
  <c r="L432" i="18"/>
  <c r="K432" i="18"/>
  <c r="J432" i="18"/>
  <c r="I432" i="18"/>
  <c r="H432" i="18"/>
  <c r="G432" i="18"/>
  <c r="Q432" i="18" s="1"/>
  <c r="P431" i="18"/>
  <c r="O431" i="18"/>
  <c r="N431" i="18"/>
  <c r="M431" i="18"/>
  <c r="L431" i="18"/>
  <c r="K431" i="18"/>
  <c r="J431" i="18"/>
  <c r="I431" i="18"/>
  <c r="H431" i="18"/>
  <c r="G431" i="18"/>
  <c r="Q431" i="18" s="1"/>
  <c r="Q430" i="18"/>
  <c r="P430" i="18"/>
  <c r="O430" i="18"/>
  <c r="N430" i="18"/>
  <c r="M430" i="18"/>
  <c r="L430" i="18"/>
  <c r="K430" i="18"/>
  <c r="J430" i="18"/>
  <c r="I430" i="18"/>
  <c r="H430" i="18"/>
  <c r="G430" i="18"/>
  <c r="P429" i="18"/>
  <c r="O429" i="18"/>
  <c r="N429" i="18"/>
  <c r="M429" i="18"/>
  <c r="L429" i="18"/>
  <c r="K429" i="18"/>
  <c r="J429" i="18"/>
  <c r="I429" i="18"/>
  <c r="H429" i="18"/>
  <c r="G429" i="18"/>
  <c r="P428" i="18"/>
  <c r="O428" i="18"/>
  <c r="N428" i="18"/>
  <c r="M428" i="18"/>
  <c r="L428" i="18"/>
  <c r="K428" i="18"/>
  <c r="J428" i="18"/>
  <c r="I428" i="18"/>
  <c r="H428" i="18"/>
  <c r="G428" i="18"/>
  <c r="P427" i="18"/>
  <c r="O427" i="18"/>
  <c r="N427" i="18"/>
  <c r="M427" i="18"/>
  <c r="L427" i="18"/>
  <c r="K427" i="18"/>
  <c r="J427" i="18"/>
  <c r="I427" i="18"/>
  <c r="H427" i="18"/>
  <c r="G427" i="18"/>
  <c r="Q427" i="18" s="1"/>
  <c r="P426" i="18"/>
  <c r="O426" i="18"/>
  <c r="N426" i="18"/>
  <c r="M426" i="18"/>
  <c r="L426" i="18"/>
  <c r="K426" i="18"/>
  <c r="J426" i="18"/>
  <c r="I426" i="18"/>
  <c r="H426" i="18"/>
  <c r="G426" i="18"/>
  <c r="Q426" i="18" s="1"/>
  <c r="P425" i="18"/>
  <c r="O425" i="18"/>
  <c r="N425" i="18"/>
  <c r="M425" i="18"/>
  <c r="L425" i="18"/>
  <c r="K425" i="18"/>
  <c r="J425" i="18"/>
  <c r="I425" i="18"/>
  <c r="H425" i="18"/>
  <c r="G425" i="18"/>
  <c r="P424" i="18"/>
  <c r="O424" i="18"/>
  <c r="N424" i="18"/>
  <c r="M424" i="18"/>
  <c r="L424" i="18"/>
  <c r="K424" i="18"/>
  <c r="J424" i="18"/>
  <c r="I424" i="18"/>
  <c r="H424" i="18"/>
  <c r="G424" i="18"/>
  <c r="Q424" i="18" s="1"/>
  <c r="P423" i="18"/>
  <c r="O423" i="18"/>
  <c r="N423" i="18"/>
  <c r="M423" i="18"/>
  <c r="L423" i="18"/>
  <c r="K423" i="18"/>
  <c r="J423" i="18"/>
  <c r="I423" i="18"/>
  <c r="H423" i="18"/>
  <c r="G423" i="18"/>
  <c r="Q423" i="18" s="1"/>
  <c r="Q422" i="18"/>
  <c r="P422" i="18"/>
  <c r="O422" i="18"/>
  <c r="N422" i="18"/>
  <c r="M422" i="18"/>
  <c r="L422" i="18"/>
  <c r="K422" i="18"/>
  <c r="J422" i="18"/>
  <c r="I422" i="18"/>
  <c r="H422" i="18"/>
  <c r="G422" i="18"/>
  <c r="P421" i="18"/>
  <c r="O421" i="18"/>
  <c r="N421" i="18"/>
  <c r="M421" i="18"/>
  <c r="L421" i="18"/>
  <c r="K421" i="18"/>
  <c r="J421" i="18"/>
  <c r="I421" i="18"/>
  <c r="H421" i="18"/>
  <c r="G421" i="18"/>
  <c r="P420" i="18"/>
  <c r="O420" i="18"/>
  <c r="N420" i="18"/>
  <c r="M420" i="18"/>
  <c r="L420" i="18"/>
  <c r="K420" i="18"/>
  <c r="J420" i="18"/>
  <c r="I420" i="18"/>
  <c r="H420" i="18"/>
  <c r="G420" i="18"/>
  <c r="P419" i="18"/>
  <c r="O419" i="18"/>
  <c r="N419" i="18"/>
  <c r="M419" i="18"/>
  <c r="L419" i="18"/>
  <c r="K419" i="18"/>
  <c r="J419" i="18"/>
  <c r="I419" i="18"/>
  <c r="H419" i="18"/>
  <c r="G419" i="18"/>
  <c r="Q419" i="18" s="1"/>
  <c r="P418" i="18"/>
  <c r="O418" i="18"/>
  <c r="N418" i="18"/>
  <c r="M418" i="18"/>
  <c r="L418" i="18"/>
  <c r="K418" i="18"/>
  <c r="J418" i="18"/>
  <c r="I418" i="18"/>
  <c r="H418" i="18"/>
  <c r="G418" i="18"/>
  <c r="Q418" i="18" s="1"/>
  <c r="P417" i="18"/>
  <c r="O417" i="18"/>
  <c r="N417" i="18"/>
  <c r="M417" i="18"/>
  <c r="L417" i="18"/>
  <c r="K417" i="18"/>
  <c r="J417" i="18"/>
  <c r="I417" i="18"/>
  <c r="H417" i="18"/>
  <c r="G417" i="18"/>
  <c r="P416" i="18"/>
  <c r="O416" i="18"/>
  <c r="N416" i="18"/>
  <c r="M416" i="18"/>
  <c r="L416" i="18"/>
  <c r="K416" i="18"/>
  <c r="J416" i="18"/>
  <c r="I416" i="18"/>
  <c r="H416" i="18"/>
  <c r="G416" i="18"/>
  <c r="Q416" i="18" s="1"/>
  <c r="P415" i="18"/>
  <c r="O415" i="18"/>
  <c r="N415" i="18"/>
  <c r="M415" i="18"/>
  <c r="L415" i="18"/>
  <c r="K415" i="18"/>
  <c r="J415" i="18"/>
  <c r="I415" i="18"/>
  <c r="H415" i="18"/>
  <c r="G415" i="18"/>
  <c r="Q415" i="18" s="1"/>
  <c r="Q414" i="18"/>
  <c r="P414" i="18"/>
  <c r="O414" i="18"/>
  <c r="N414" i="18"/>
  <c r="M414" i="18"/>
  <c r="L414" i="18"/>
  <c r="K414" i="18"/>
  <c r="J414" i="18"/>
  <c r="I414" i="18"/>
  <c r="H414" i="18"/>
  <c r="G414" i="18"/>
  <c r="P413" i="18"/>
  <c r="O413" i="18"/>
  <c r="N413" i="18"/>
  <c r="M413" i="18"/>
  <c r="L413" i="18"/>
  <c r="K413" i="18"/>
  <c r="J413" i="18"/>
  <c r="I413" i="18"/>
  <c r="H413" i="18"/>
  <c r="G413" i="18"/>
  <c r="P412" i="18"/>
  <c r="O412" i="18"/>
  <c r="N412" i="18"/>
  <c r="M412" i="18"/>
  <c r="L412" i="18"/>
  <c r="K412" i="18"/>
  <c r="J412" i="18"/>
  <c r="I412" i="18"/>
  <c r="H412" i="18"/>
  <c r="G412" i="18"/>
  <c r="P411" i="18"/>
  <c r="O411" i="18"/>
  <c r="N411" i="18"/>
  <c r="M411" i="18"/>
  <c r="L411" i="18"/>
  <c r="K411" i="18"/>
  <c r="J411" i="18"/>
  <c r="I411" i="18"/>
  <c r="H411" i="18"/>
  <c r="G411" i="18"/>
  <c r="Q411" i="18" s="1"/>
  <c r="P410" i="18"/>
  <c r="O410" i="18"/>
  <c r="N410" i="18"/>
  <c r="M410" i="18"/>
  <c r="L410" i="18"/>
  <c r="K410" i="18"/>
  <c r="J410" i="18"/>
  <c r="I410" i="18"/>
  <c r="H410" i="18"/>
  <c r="G410" i="18"/>
  <c r="Q410" i="18" s="1"/>
  <c r="P409" i="18"/>
  <c r="O409" i="18"/>
  <c r="N409" i="18"/>
  <c r="M409" i="18"/>
  <c r="L409" i="18"/>
  <c r="K409" i="18"/>
  <c r="J409" i="18"/>
  <c r="I409" i="18"/>
  <c r="H409" i="18"/>
  <c r="G409" i="18"/>
  <c r="P408" i="18"/>
  <c r="O408" i="18"/>
  <c r="N408" i="18"/>
  <c r="M408" i="18"/>
  <c r="L408" i="18"/>
  <c r="K408" i="18"/>
  <c r="J408" i="18"/>
  <c r="I408" i="18"/>
  <c r="H408" i="18"/>
  <c r="G408" i="18"/>
  <c r="Q408" i="18" s="1"/>
  <c r="P407" i="18"/>
  <c r="O407" i="18"/>
  <c r="N407" i="18"/>
  <c r="M407" i="18"/>
  <c r="L407" i="18"/>
  <c r="K407" i="18"/>
  <c r="J407" i="18"/>
  <c r="I407" i="18"/>
  <c r="H407" i="18"/>
  <c r="G407" i="18"/>
  <c r="Q407" i="18" s="1"/>
  <c r="Q406" i="18"/>
  <c r="P406" i="18"/>
  <c r="O406" i="18"/>
  <c r="N406" i="18"/>
  <c r="M406" i="18"/>
  <c r="L406" i="18"/>
  <c r="K406" i="18"/>
  <c r="J406" i="18"/>
  <c r="I406" i="18"/>
  <c r="H406" i="18"/>
  <c r="G406" i="18"/>
  <c r="P405" i="18"/>
  <c r="O405" i="18"/>
  <c r="N405" i="18"/>
  <c r="M405" i="18"/>
  <c r="L405" i="18"/>
  <c r="K405" i="18"/>
  <c r="J405" i="18"/>
  <c r="I405" i="18"/>
  <c r="H405" i="18"/>
  <c r="G405" i="18"/>
  <c r="P404" i="18"/>
  <c r="O404" i="18"/>
  <c r="N404" i="18"/>
  <c r="M404" i="18"/>
  <c r="L404" i="18"/>
  <c r="K404" i="18"/>
  <c r="J404" i="18"/>
  <c r="I404" i="18"/>
  <c r="H404" i="18"/>
  <c r="G404" i="18"/>
  <c r="P403" i="18"/>
  <c r="O403" i="18"/>
  <c r="N403" i="18"/>
  <c r="M403" i="18"/>
  <c r="L403" i="18"/>
  <c r="K403" i="18"/>
  <c r="J403" i="18"/>
  <c r="I403" i="18"/>
  <c r="H403" i="18"/>
  <c r="G403" i="18"/>
  <c r="Q403" i="18" s="1"/>
  <c r="P402" i="18"/>
  <c r="O402" i="18"/>
  <c r="N402" i="18"/>
  <c r="M402" i="18"/>
  <c r="L402" i="18"/>
  <c r="K402" i="18"/>
  <c r="J402" i="18"/>
  <c r="I402" i="18"/>
  <c r="H402" i="18"/>
  <c r="G402" i="18"/>
  <c r="Q402" i="18" s="1"/>
  <c r="P401" i="18"/>
  <c r="O401" i="18"/>
  <c r="N401" i="18"/>
  <c r="M401" i="18"/>
  <c r="L401" i="18"/>
  <c r="K401" i="18"/>
  <c r="J401" i="18"/>
  <c r="I401" i="18"/>
  <c r="H401" i="18"/>
  <c r="G401" i="18"/>
  <c r="P400" i="18"/>
  <c r="O400" i="18"/>
  <c r="N400" i="18"/>
  <c r="M400" i="18"/>
  <c r="L400" i="18"/>
  <c r="K400" i="18"/>
  <c r="J400" i="18"/>
  <c r="I400" i="18"/>
  <c r="H400" i="18"/>
  <c r="G400" i="18"/>
  <c r="Q400" i="18" s="1"/>
  <c r="P399" i="18"/>
  <c r="O399" i="18"/>
  <c r="N399" i="18"/>
  <c r="M399" i="18"/>
  <c r="L399" i="18"/>
  <c r="K399" i="18"/>
  <c r="J399" i="18"/>
  <c r="I399" i="18"/>
  <c r="H399" i="18"/>
  <c r="G399" i="18"/>
  <c r="Q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P397" i="18"/>
  <c r="O397" i="18"/>
  <c r="N397" i="18"/>
  <c r="M397" i="18"/>
  <c r="L397" i="18"/>
  <c r="K397" i="18"/>
  <c r="J397" i="18"/>
  <c r="I397" i="18"/>
  <c r="H397" i="18"/>
  <c r="G397" i="18"/>
  <c r="P396" i="18"/>
  <c r="O396" i="18"/>
  <c r="N396" i="18"/>
  <c r="M396" i="18"/>
  <c r="L396" i="18"/>
  <c r="K396" i="18"/>
  <c r="J396" i="18"/>
  <c r="I396" i="18"/>
  <c r="H396" i="18"/>
  <c r="G396" i="18"/>
  <c r="P395" i="18"/>
  <c r="O395" i="18"/>
  <c r="N395" i="18"/>
  <c r="M395" i="18"/>
  <c r="L395" i="18"/>
  <c r="K395" i="18"/>
  <c r="J395" i="18"/>
  <c r="I395" i="18"/>
  <c r="H395" i="18"/>
  <c r="G395" i="18"/>
  <c r="Q395" i="18" s="1"/>
  <c r="P394" i="18"/>
  <c r="O394" i="18"/>
  <c r="N394" i="18"/>
  <c r="M394" i="18"/>
  <c r="L394" i="18"/>
  <c r="K394" i="18"/>
  <c r="J394" i="18"/>
  <c r="I394" i="18"/>
  <c r="H394" i="18"/>
  <c r="G394" i="18"/>
  <c r="Q394" i="18" s="1"/>
  <c r="P393" i="18"/>
  <c r="O393" i="18"/>
  <c r="N393" i="18"/>
  <c r="M393" i="18"/>
  <c r="L393" i="18"/>
  <c r="K393" i="18"/>
  <c r="J393" i="18"/>
  <c r="I393" i="18"/>
  <c r="H393" i="18"/>
  <c r="G393" i="18"/>
  <c r="P392" i="18"/>
  <c r="O392" i="18"/>
  <c r="N392" i="18"/>
  <c r="M392" i="18"/>
  <c r="L392" i="18"/>
  <c r="K392" i="18"/>
  <c r="J392" i="18"/>
  <c r="I392" i="18"/>
  <c r="H392" i="18"/>
  <c r="G392" i="18"/>
  <c r="Q392" i="18" s="1"/>
  <c r="P391" i="18"/>
  <c r="O391" i="18"/>
  <c r="N391" i="18"/>
  <c r="M391" i="18"/>
  <c r="L391" i="18"/>
  <c r="K391" i="18"/>
  <c r="J391" i="18"/>
  <c r="I391" i="18"/>
  <c r="H391" i="18"/>
  <c r="G391" i="18"/>
  <c r="Q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P389" i="18"/>
  <c r="O389" i="18"/>
  <c r="N389" i="18"/>
  <c r="M389" i="18"/>
  <c r="L389" i="18"/>
  <c r="K389" i="18"/>
  <c r="J389" i="18"/>
  <c r="I389" i="18"/>
  <c r="H389" i="18"/>
  <c r="G389" i="18"/>
  <c r="P388" i="18"/>
  <c r="O388" i="18"/>
  <c r="N388" i="18"/>
  <c r="M388" i="18"/>
  <c r="L388" i="18"/>
  <c r="K388" i="18"/>
  <c r="J388" i="18"/>
  <c r="I388" i="18"/>
  <c r="H388" i="18"/>
  <c r="G388" i="18"/>
  <c r="P387" i="18"/>
  <c r="O387" i="18"/>
  <c r="N387" i="18"/>
  <c r="M387" i="18"/>
  <c r="L387" i="18"/>
  <c r="K387" i="18"/>
  <c r="J387" i="18"/>
  <c r="I387" i="18"/>
  <c r="H387" i="18"/>
  <c r="G387" i="18"/>
  <c r="Q387" i="18" s="1"/>
  <c r="P386" i="18"/>
  <c r="O386" i="18"/>
  <c r="N386" i="18"/>
  <c r="M386" i="18"/>
  <c r="L386" i="18"/>
  <c r="K386" i="18"/>
  <c r="J386" i="18"/>
  <c r="I386" i="18"/>
  <c r="H386" i="18"/>
  <c r="G386" i="18"/>
  <c r="Q386" i="18" s="1"/>
  <c r="P385" i="18"/>
  <c r="O385" i="18"/>
  <c r="N385" i="18"/>
  <c r="M385" i="18"/>
  <c r="L385" i="18"/>
  <c r="K385" i="18"/>
  <c r="J385" i="18"/>
  <c r="I385" i="18"/>
  <c r="H385" i="18"/>
  <c r="G385" i="18"/>
  <c r="P384" i="18"/>
  <c r="O384" i="18"/>
  <c r="N384" i="18"/>
  <c r="M384" i="18"/>
  <c r="L384" i="18"/>
  <c r="K384" i="18"/>
  <c r="J384" i="18"/>
  <c r="I384" i="18"/>
  <c r="H384" i="18"/>
  <c r="G384" i="18"/>
  <c r="Q384" i="18" s="1"/>
  <c r="P383" i="18"/>
  <c r="O383" i="18"/>
  <c r="N383" i="18"/>
  <c r="M383" i="18"/>
  <c r="L383" i="18"/>
  <c r="K383" i="18"/>
  <c r="J383" i="18"/>
  <c r="I383" i="18"/>
  <c r="H383" i="18"/>
  <c r="G383" i="18"/>
  <c r="Q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P381" i="18"/>
  <c r="O381" i="18"/>
  <c r="N381" i="18"/>
  <c r="M381" i="18"/>
  <c r="L381" i="18"/>
  <c r="K381" i="18"/>
  <c r="J381" i="18"/>
  <c r="I381" i="18"/>
  <c r="H381" i="18"/>
  <c r="G381" i="18"/>
  <c r="P380" i="18"/>
  <c r="O380" i="18"/>
  <c r="N380" i="18"/>
  <c r="M380" i="18"/>
  <c r="L380" i="18"/>
  <c r="K380" i="18"/>
  <c r="J380" i="18"/>
  <c r="I380" i="18"/>
  <c r="H380" i="18"/>
  <c r="G380" i="18"/>
  <c r="P379" i="18"/>
  <c r="O379" i="18"/>
  <c r="N379" i="18"/>
  <c r="M379" i="18"/>
  <c r="L379" i="18"/>
  <c r="K379" i="18"/>
  <c r="J379" i="18"/>
  <c r="I379" i="18"/>
  <c r="H379" i="18"/>
  <c r="G379" i="18"/>
  <c r="Q379" i="18" s="1"/>
  <c r="P378" i="18"/>
  <c r="O378" i="18"/>
  <c r="N378" i="18"/>
  <c r="M378" i="18"/>
  <c r="L378" i="18"/>
  <c r="K378" i="18"/>
  <c r="J378" i="18"/>
  <c r="I378" i="18"/>
  <c r="H378" i="18"/>
  <c r="G378" i="18"/>
  <c r="Q378" i="18" s="1"/>
  <c r="P377" i="18"/>
  <c r="O377" i="18"/>
  <c r="N377" i="18"/>
  <c r="M377" i="18"/>
  <c r="L377" i="18"/>
  <c r="K377" i="18"/>
  <c r="J377" i="18"/>
  <c r="I377" i="18"/>
  <c r="H377" i="18"/>
  <c r="G377" i="18"/>
  <c r="P376" i="18"/>
  <c r="O376" i="18"/>
  <c r="N376" i="18"/>
  <c r="M376" i="18"/>
  <c r="L376" i="18"/>
  <c r="K376" i="18"/>
  <c r="J376" i="18"/>
  <c r="I376" i="18"/>
  <c r="H376" i="18"/>
  <c r="G376" i="18"/>
  <c r="Q376" i="18" s="1"/>
  <c r="P375" i="18"/>
  <c r="O375" i="18"/>
  <c r="N375" i="18"/>
  <c r="M375" i="18"/>
  <c r="L375" i="18"/>
  <c r="K375" i="18"/>
  <c r="J375" i="18"/>
  <c r="I375" i="18"/>
  <c r="H375" i="18"/>
  <c r="G375" i="18"/>
  <c r="Q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P373" i="18"/>
  <c r="O373" i="18"/>
  <c r="N373" i="18"/>
  <c r="M373" i="18"/>
  <c r="L373" i="18"/>
  <c r="K373" i="18"/>
  <c r="J373" i="18"/>
  <c r="I373" i="18"/>
  <c r="H373" i="18"/>
  <c r="G373" i="18"/>
  <c r="P372" i="18"/>
  <c r="O372" i="18"/>
  <c r="N372" i="18"/>
  <c r="M372" i="18"/>
  <c r="L372" i="18"/>
  <c r="K372" i="18"/>
  <c r="J372" i="18"/>
  <c r="I372" i="18"/>
  <c r="H372" i="18"/>
  <c r="G372" i="18"/>
  <c r="P371" i="18"/>
  <c r="O371" i="18"/>
  <c r="N371" i="18"/>
  <c r="M371" i="18"/>
  <c r="L371" i="18"/>
  <c r="K371" i="18"/>
  <c r="J371" i="18"/>
  <c r="I371" i="18"/>
  <c r="H371" i="18"/>
  <c r="G371" i="18"/>
  <c r="Q371" i="18" s="1"/>
  <c r="P370" i="18"/>
  <c r="O370" i="18"/>
  <c r="N370" i="18"/>
  <c r="M370" i="18"/>
  <c r="L370" i="18"/>
  <c r="K370" i="18"/>
  <c r="J370" i="18"/>
  <c r="I370" i="18"/>
  <c r="H370" i="18"/>
  <c r="G370" i="18"/>
  <c r="Q370" i="18" s="1"/>
  <c r="P369" i="18"/>
  <c r="O369" i="18"/>
  <c r="N369" i="18"/>
  <c r="M369" i="18"/>
  <c r="L369" i="18"/>
  <c r="K369" i="18"/>
  <c r="J369" i="18"/>
  <c r="I369" i="18"/>
  <c r="H369" i="18"/>
  <c r="G369" i="18"/>
  <c r="P368" i="18"/>
  <c r="O368" i="18"/>
  <c r="N368" i="18"/>
  <c r="M368" i="18"/>
  <c r="L368" i="18"/>
  <c r="K368" i="18"/>
  <c r="J368" i="18"/>
  <c r="I368" i="18"/>
  <c r="H368" i="18"/>
  <c r="G368" i="18"/>
  <c r="Q368" i="18" s="1"/>
  <c r="P367" i="18"/>
  <c r="O367" i="18"/>
  <c r="N367" i="18"/>
  <c r="M367" i="18"/>
  <c r="L367" i="18"/>
  <c r="K367" i="18"/>
  <c r="J367" i="18"/>
  <c r="I367" i="18"/>
  <c r="H367" i="18"/>
  <c r="G367" i="18"/>
  <c r="Q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P365" i="18"/>
  <c r="O365" i="18"/>
  <c r="N365" i="18"/>
  <c r="M365" i="18"/>
  <c r="L365" i="18"/>
  <c r="K365" i="18"/>
  <c r="J365" i="18"/>
  <c r="I365" i="18"/>
  <c r="H365" i="18"/>
  <c r="G365" i="18"/>
  <c r="P364" i="18"/>
  <c r="O364" i="18"/>
  <c r="N364" i="18"/>
  <c r="M364" i="18"/>
  <c r="L364" i="18"/>
  <c r="K364" i="18"/>
  <c r="J364" i="18"/>
  <c r="I364" i="18"/>
  <c r="H364" i="18"/>
  <c r="G364" i="18"/>
  <c r="P363" i="18"/>
  <c r="O363" i="18"/>
  <c r="N363" i="18"/>
  <c r="M363" i="18"/>
  <c r="L363" i="18"/>
  <c r="K363" i="18"/>
  <c r="J363" i="18"/>
  <c r="I363" i="18"/>
  <c r="H363" i="18"/>
  <c r="G363" i="18"/>
  <c r="Q363" i="18" s="1"/>
  <c r="P362" i="18"/>
  <c r="O362" i="18"/>
  <c r="N362" i="18"/>
  <c r="M362" i="18"/>
  <c r="L362" i="18"/>
  <c r="K362" i="18"/>
  <c r="J362" i="18"/>
  <c r="I362" i="18"/>
  <c r="H362" i="18"/>
  <c r="G362" i="18"/>
  <c r="Q362" i="18" s="1"/>
  <c r="P361" i="18"/>
  <c r="O361" i="18"/>
  <c r="N361" i="18"/>
  <c r="M361" i="18"/>
  <c r="L361" i="18"/>
  <c r="K361" i="18"/>
  <c r="J361" i="18"/>
  <c r="I361" i="18"/>
  <c r="H361" i="18"/>
  <c r="G361" i="18"/>
  <c r="P360" i="18"/>
  <c r="O360" i="18"/>
  <c r="N360" i="18"/>
  <c r="M360" i="18"/>
  <c r="L360" i="18"/>
  <c r="K360" i="18"/>
  <c r="J360" i="18"/>
  <c r="I360" i="18"/>
  <c r="H360" i="18"/>
  <c r="G360" i="18"/>
  <c r="Q360" i="18" s="1"/>
  <c r="P359" i="18"/>
  <c r="O359" i="18"/>
  <c r="N359" i="18"/>
  <c r="M359" i="18"/>
  <c r="L359" i="18"/>
  <c r="K359" i="18"/>
  <c r="J359" i="18"/>
  <c r="I359" i="18"/>
  <c r="H359" i="18"/>
  <c r="G359" i="18"/>
  <c r="Q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P357" i="18"/>
  <c r="O357" i="18"/>
  <c r="N357" i="18"/>
  <c r="M357" i="18"/>
  <c r="L357" i="18"/>
  <c r="K357" i="18"/>
  <c r="J357" i="18"/>
  <c r="I357" i="18"/>
  <c r="H357" i="18"/>
  <c r="G357" i="18"/>
  <c r="P356" i="18"/>
  <c r="O356" i="18"/>
  <c r="N356" i="18"/>
  <c r="M356" i="18"/>
  <c r="L356" i="18"/>
  <c r="K356" i="18"/>
  <c r="J356" i="18"/>
  <c r="I356" i="18"/>
  <c r="H356" i="18"/>
  <c r="G356" i="18"/>
  <c r="P355" i="18"/>
  <c r="O355" i="18"/>
  <c r="N355" i="18"/>
  <c r="M355" i="18"/>
  <c r="L355" i="18"/>
  <c r="K355" i="18"/>
  <c r="J355" i="18"/>
  <c r="I355" i="18"/>
  <c r="H355" i="18"/>
  <c r="G355" i="18"/>
  <c r="Q355" i="18" s="1"/>
  <c r="P354" i="18"/>
  <c r="O354" i="18"/>
  <c r="N354" i="18"/>
  <c r="M354" i="18"/>
  <c r="L354" i="18"/>
  <c r="K354" i="18"/>
  <c r="J354" i="18"/>
  <c r="I354" i="18"/>
  <c r="H354" i="18"/>
  <c r="G354" i="18"/>
  <c r="Q354" i="18" s="1"/>
  <c r="P353" i="18"/>
  <c r="O353" i="18"/>
  <c r="N353" i="18"/>
  <c r="M353" i="18"/>
  <c r="L353" i="18"/>
  <c r="K353" i="18"/>
  <c r="J353" i="18"/>
  <c r="I353" i="18"/>
  <c r="H353" i="18"/>
  <c r="G353" i="18"/>
  <c r="P352" i="18"/>
  <c r="O352" i="18"/>
  <c r="N352" i="18"/>
  <c r="M352" i="18"/>
  <c r="L352" i="18"/>
  <c r="K352" i="18"/>
  <c r="J352" i="18"/>
  <c r="I352" i="18"/>
  <c r="H352" i="18"/>
  <c r="G352" i="18"/>
  <c r="Q352" i="18" s="1"/>
  <c r="P351" i="18"/>
  <c r="O351" i="18"/>
  <c r="N351" i="18"/>
  <c r="M351" i="18"/>
  <c r="L351" i="18"/>
  <c r="K351" i="18"/>
  <c r="J351" i="18"/>
  <c r="I351" i="18"/>
  <c r="H351" i="18"/>
  <c r="G351" i="18"/>
  <c r="Q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P349" i="18"/>
  <c r="O349" i="18"/>
  <c r="N349" i="18"/>
  <c r="M349" i="18"/>
  <c r="L349" i="18"/>
  <c r="K349" i="18"/>
  <c r="J349" i="18"/>
  <c r="I349" i="18"/>
  <c r="H349" i="18"/>
  <c r="G349" i="18"/>
  <c r="P348" i="18"/>
  <c r="O348" i="18"/>
  <c r="N348" i="18"/>
  <c r="M348" i="18"/>
  <c r="L348" i="18"/>
  <c r="K348" i="18"/>
  <c r="J348" i="18"/>
  <c r="I348" i="18"/>
  <c r="H348" i="18"/>
  <c r="G348" i="18"/>
  <c r="P347" i="18"/>
  <c r="O347" i="18"/>
  <c r="N347" i="18"/>
  <c r="M347" i="18"/>
  <c r="L347" i="18"/>
  <c r="K347" i="18"/>
  <c r="J347" i="18"/>
  <c r="I347" i="18"/>
  <c r="H347" i="18"/>
  <c r="G347" i="18"/>
  <c r="Q347" i="18" s="1"/>
  <c r="P346" i="18"/>
  <c r="O346" i="18"/>
  <c r="N346" i="18"/>
  <c r="M346" i="18"/>
  <c r="L346" i="18"/>
  <c r="K346" i="18"/>
  <c r="J346" i="18"/>
  <c r="I346" i="18"/>
  <c r="H346" i="18"/>
  <c r="G346" i="18"/>
  <c r="Q346" i="18" s="1"/>
  <c r="P345" i="18"/>
  <c r="O345" i="18"/>
  <c r="N345" i="18"/>
  <c r="M345" i="18"/>
  <c r="L345" i="18"/>
  <c r="K345" i="18"/>
  <c r="J345" i="18"/>
  <c r="I345" i="18"/>
  <c r="H345" i="18"/>
  <c r="G345" i="18"/>
  <c r="P344" i="18"/>
  <c r="O344" i="18"/>
  <c r="N344" i="18"/>
  <c r="M344" i="18"/>
  <c r="L344" i="18"/>
  <c r="K344" i="18"/>
  <c r="J344" i="18"/>
  <c r="I344" i="18"/>
  <c r="H344" i="18"/>
  <c r="G344" i="18"/>
  <c r="Q344" i="18" s="1"/>
  <c r="P343" i="18"/>
  <c r="O343" i="18"/>
  <c r="N343" i="18"/>
  <c r="M343" i="18"/>
  <c r="L343" i="18"/>
  <c r="K343" i="18"/>
  <c r="J343" i="18"/>
  <c r="I343" i="18"/>
  <c r="H343" i="18"/>
  <c r="G343" i="18"/>
  <c r="Q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P341" i="18"/>
  <c r="O341" i="18"/>
  <c r="N341" i="18"/>
  <c r="M341" i="18"/>
  <c r="L341" i="18"/>
  <c r="K341" i="18"/>
  <c r="J341" i="18"/>
  <c r="I341" i="18"/>
  <c r="H341" i="18"/>
  <c r="G341" i="18"/>
  <c r="P340" i="18"/>
  <c r="O340" i="18"/>
  <c r="N340" i="18"/>
  <c r="M340" i="18"/>
  <c r="L340" i="18"/>
  <c r="K340" i="18"/>
  <c r="J340" i="18"/>
  <c r="I340" i="18"/>
  <c r="H340" i="18"/>
  <c r="G340" i="18"/>
  <c r="P339" i="18"/>
  <c r="O339" i="18"/>
  <c r="N339" i="18"/>
  <c r="M339" i="18"/>
  <c r="L339" i="18"/>
  <c r="K339" i="18"/>
  <c r="J339" i="18"/>
  <c r="I339" i="18"/>
  <c r="H339" i="18"/>
  <c r="G339" i="18"/>
  <c r="Q339" i="18" s="1"/>
  <c r="P338" i="18"/>
  <c r="O338" i="18"/>
  <c r="N338" i="18"/>
  <c r="M338" i="18"/>
  <c r="L338" i="18"/>
  <c r="K338" i="18"/>
  <c r="J338" i="18"/>
  <c r="I338" i="18"/>
  <c r="H338" i="18"/>
  <c r="G338" i="18"/>
  <c r="Q338" i="18" s="1"/>
  <c r="P337" i="18"/>
  <c r="O337" i="18"/>
  <c r="N337" i="18"/>
  <c r="M337" i="18"/>
  <c r="L337" i="18"/>
  <c r="K337" i="18"/>
  <c r="J337" i="18"/>
  <c r="I337" i="18"/>
  <c r="H337" i="18"/>
  <c r="G337" i="18"/>
  <c r="P336" i="18"/>
  <c r="O336" i="18"/>
  <c r="N336" i="18"/>
  <c r="M336" i="18"/>
  <c r="L336" i="18"/>
  <c r="K336" i="18"/>
  <c r="J336" i="18"/>
  <c r="I336" i="18"/>
  <c r="H336" i="18"/>
  <c r="G336" i="18"/>
  <c r="Q336" i="18" s="1"/>
  <c r="P335" i="18"/>
  <c r="O335" i="18"/>
  <c r="N335" i="18"/>
  <c r="M335" i="18"/>
  <c r="L335" i="18"/>
  <c r="K335" i="18"/>
  <c r="J335" i="18"/>
  <c r="I335" i="18"/>
  <c r="H335" i="18"/>
  <c r="G335" i="18"/>
  <c r="Q335" i="18" s="1"/>
  <c r="Q334" i="18"/>
  <c r="P334" i="18"/>
  <c r="O334" i="18"/>
  <c r="N334" i="18"/>
  <c r="M334" i="18"/>
  <c r="L334" i="18"/>
  <c r="K334" i="18"/>
  <c r="J334" i="18"/>
  <c r="I334" i="18"/>
  <c r="H334" i="18"/>
  <c r="G334" i="18"/>
  <c r="P333" i="18"/>
  <c r="O333" i="18"/>
  <c r="N333" i="18"/>
  <c r="M333" i="18"/>
  <c r="L333" i="18"/>
  <c r="K333" i="18"/>
  <c r="J333" i="18"/>
  <c r="I333" i="18"/>
  <c r="H333" i="18"/>
  <c r="G333" i="18"/>
  <c r="P332" i="18"/>
  <c r="O332" i="18"/>
  <c r="N332" i="18"/>
  <c r="M332" i="18"/>
  <c r="L332" i="18"/>
  <c r="K332" i="18"/>
  <c r="J332" i="18"/>
  <c r="I332" i="18"/>
  <c r="H332" i="18"/>
  <c r="G332" i="18"/>
  <c r="P331" i="18"/>
  <c r="O331" i="18"/>
  <c r="N331" i="18"/>
  <c r="M331" i="18"/>
  <c r="L331" i="18"/>
  <c r="K331" i="18"/>
  <c r="J331" i="18"/>
  <c r="I331" i="18"/>
  <c r="H331" i="18"/>
  <c r="G331" i="18"/>
  <c r="Q331" i="18" s="1"/>
  <c r="P330" i="18"/>
  <c r="O330" i="18"/>
  <c r="N330" i="18"/>
  <c r="M330" i="18"/>
  <c r="L330" i="18"/>
  <c r="K330" i="18"/>
  <c r="J330" i="18"/>
  <c r="I330" i="18"/>
  <c r="H330" i="18"/>
  <c r="G330" i="18"/>
  <c r="Q330" i="18" s="1"/>
  <c r="P329" i="18"/>
  <c r="O329" i="18"/>
  <c r="N329" i="18"/>
  <c r="M329" i="18"/>
  <c r="L329" i="18"/>
  <c r="K329" i="18"/>
  <c r="J329" i="18"/>
  <c r="I329" i="18"/>
  <c r="H329" i="18"/>
  <c r="G329" i="18"/>
  <c r="P328" i="18"/>
  <c r="O328" i="18"/>
  <c r="N328" i="18"/>
  <c r="M328" i="18"/>
  <c r="L328" i="18"/>
  <c r="K328" i="18"/>
  <c r="J328" i="18"/>
  <c r="I328" i="18"/>
  <c r="H328" i="18"/>
  <c r="G328" i="18"/>
  <c r="Q328" i="18" s="1"/>
  <c r="P327" i="18"/>
  <c r="O327" i="18"/>
  <c r="N327" i="18"/>
  <c r="M327" i="18"/>
  <c r="L327" i="18"/>
  <c r="K327" i="18"/>
  <c r="J327" i="18"/>
  <c r="I327" i="18"/>
  <c r="H327" i="18"/>
  <c r="G327" i="18"/>
  <c r="Q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P325" i="18"/>
  <c r="O325" i="18"/>
  <c r="N325" i="18"/>
  <c r="M325" i="18"/>
  <c r="L325" i="18"/>
  <c r="K325" i="18"/>
  <c r="J325" i="18"/>
  <c r="I325" i="18"/>
  <c r="H325" i="18"/>
  <c r="G325" i="18"/>
  <c r="P324" i="18"/>
  <c r="O324" i="18"/>
  <c r="N324" i="18"/>
  <c r="M324" i="18"/>
  <c r="L324" i="18"/>
  <c r="K324" i="18"/>
  <c r="J324" i="18"/>
  <c r="I324" i="18"/>
  <c r="H324" i="18"/>
  <c r="G324" i="18"/>
  <c r="P323" i="18"/>
  <c r="O323" i="18"/>
  <c r="N323" i="18"/>
  <c r="M323" i="18"/>
  <c r="L323" i="18"/>
  <c r="K323" i="18"/>
  <c r="J323" i="18"/>
  <c r="I323" i="18"/>
  <c r="H323" i="18"/>
  <c r="G323" i="18"/>
  <c r="Q323" i="18" s="1"/>
  <c r="P322" i="18"/>
  <c r="O322" i="18"/>
  <c r="N322" i="18"/>
  <c r="M322" i="18"/>
  <c r="L322" i="18"/>
  <c r="K322" i="18"/>
  <c r="J322" i="18"/>
  <c r="I322" i="18"/>
  <c r="H322" i="18"/>
  <c r="G322" i="18"/>
  <c r="Q322" i="18" s="1"/>
  <c r="P321" i="18"/>
  <c r="O321" i="18"/>
  <c r="N321" i="18"/>
  <c r="M321" i="18"/>
  <c r="L321" i="18"/>
  <c r="K321" i="18"/>
  <c r="J321" i="18"/>
  <c r="I321" i="18"/>
  <c r="H321" i="18"/>
  <c r="G321" i="18"/>
  <c r="P320" i="18"/>
  <c r="O320" i="18"/>
  <c r="N320" i="18"/>
  <c r="M320" i="18"/>
  <c r="L320" i="18"/>
  <c r="K320" i="18"/>
  <c r="J320" i="18"/>
  <c r="I320" i="18"/>
  <c r="H320" i="18"/>
  <c r="G320" i="18"/>
  <c r="Q320" i="18" s="1"/>
  <c r="P319" i="18"/>
  <c r="O319" i="18"/>
  <c r="N319" i="18"/>
  <c r="M319" i="18"/>
  <c r="L319" i="18"/>
  <c r="K319" i="18"/>
  <c r="J319" i="18"/>
  <c r="I319" i="18"/>
  <c r="H319" i="18"/>
  <c r="G319" i="18"/>
  <c r="Q319" i="18" s="1"/>
  <c r="Q318" i="18"/>
  <c r="P318" i="18"/>
  <c r="O318" i="18"/>
  <c r="N318" i="18"/>
  <c r="M318" i="18"/>
  <c r="L318" i="18"/>
  <c r="K318" i="18"/>
  <c r="J318" i="18"/>
  <c r="I318" i="18"/>
  <c r="H318" i="18"/>
  <c r="G318" i="18"/>
  <c r="P317" i="18"/>
  <c r="O317" i="18"/>
  <c r="N317" i="18"/>
  <c r="M317" i="18"/>
  <c r="L317" i="18"/>
  <c r="K317" i="18"/>
  <c r="J317" i="18"/>
  <c r="I317" i="18"/>
  <c r="H317" i="18"/>
  <c r="G317" i="18"/>
  <c r="P316" i="18"/>
  <c r="O316" i="18"/>
  <c r="N316" i="18"/>
  <c r="M316" i="18"/>
  <c r="L316" i="18"/>
  <c r="K316" i="18"/>
  <c r="J316" i="18"/>
  <c r="I316" i="18"/>
  <c r="H316" i="18"/>
  <c r="G316" i="18"/>
  <c r="P315" i="18"/>
  <c r="O315" i="18"/>
  <c r="N315" i="18"/>
  <c r="M315" i="18"/>
  <c r="L315" i="18"/>
  <c r="K315" i="18"/>
  <c r="J315" i="18"/>
  <c r="I315" i="18"/>
  <c r="H315" i="18"/>
  <c r="G315" i="18"/>
  <c r="Q315" i="18" s="1"/>
  <c r="P314" i="18"/>
  <c r="O314" i="18"/>
  <c r="N314" i="18"/>
  <c r="M314" i="18"/>
  <c r="L314" i="18"/>
  <c r="K314" i="18"/>
  <c r="J314" i="18"/>
  <c r="I314" i="18"/>
  <c r="H314" i="18"/>
  <c r="G314" i="18"/>
  <c r="Q314" i="18" s="1"/>
  <c r="P313" i="18"/>
  <c r="O313" i="18"/>
  <c r="N313" i="18"/>
  <c r="M313" i="18"/>
  <c r="L313" i="18"/>
  <c r="K313" i="18"/>
  <c r="J313" i="18"/>
  <c r="I313" i="18"/>
  <c r="H313" i="18"/>
  <c r="G313" i="18"/>
  <c r="P312" i="18"/>
  <c r="O312" i="18"/>
  <c r="N312" i="18"/>
  <c r="M312" i="18"/>
  <c r="L312" i="18"/>
  <c r="K312" i="18"/>
  <c r="J312" i="18"/>
  <c r="I312" i="18"/>
  <c r="H312" i="18"/>
  <c r="G312" i="18"/>
  <c r="Q312" i="18" s="1"/>
  <c r="P311" i="18"/>
  <c r="O311" i="18"/>
  <c r="N311" i="18"/>
  <c r="M311" i="18"/>
  <c r="L311" i="18"/>
  <c r="K311" i="18"/>
  <c r="J311" i="18"/>
  <c r="I311" i="18"/>
  <c r="H311" i="18"/>
  <c r="G311" i="18"/>
  <c r="Q311" i="18" s="1"/>
  <c r="Q310" i="18"/>
  <c r="P310" i="18"/>
  <c r="O310" i="18"/>
  <c r="N310" i="18"/>
  <c r="M310" i="18"/>
  <c r="L310" i="18"/>
  <c r="K310" i="18"/>
  <c r="J310" i="18"/>
  <c r="I310" i="18"/>
  <c r="H310" i="18"/>
  <c r="G310" i="18"/>
  <c r="P309" i="18"/>
  <c r="O309" i="18"/>
  <c r="N309" i="18"/>
  <c r="M309" i="18"/>
  <c r="L309" i="18"/>
  <c r="K309" i="18"/>
  <c r="J309" i="18"/>
  <c r="I309" i="18"/>
  <c r="H309" i="18"/>
  <c r="G309" i="18"/>
  <c r="P308" i="18"/>
  <c r="O308" i="18"/>
  <c r="N308" i="18"/>
  <c r="M308" i="18"/>
  <c r="L308" i="18"/>
  <c r="K308" i="18"/>
  <c r="J308" i="18"/>
  <c r="I308" i="18"/>
  <c r="H308" i="18"/>
  <c r="G308" i="18"/>
  <c r="P307" i="18"/>
  <c r="O307" i="18"/>
  <c r="N307" i="18"/>
  <c r="M307" i="18"/>
  <c r="L307" i="18"/>
  <c r="K307" i="18"/>
  <c r="J307" i="18"/>
  <c r="I307" i="18"/>
  <c r="H307" i="18"/>
  <c r="G307" i="18"/>
  <c r="Q307" i="18" s="1"/>
  <c r="P306" i="18"/>
  <c r="O306" i="18"/>
  <c r="N306" i="18"/>
  <c r="M306" i="18"/>
  <c r="L306" i="18"/>
  <c r="K306" i="18"/>
  <c r="J306" i="18"/>
  <c r="I306" i="18"/>
  <c r="H306" i="18"/>
  <c r="G306" i="18"/>
  <c r="Q306" i="18" s="1"/>
  <c r="P305" i="18"/>
  <c r="O305" i="18"/>
  <c r="N305" i="18"/>
  <c r="M305" i="18"/>
  <c r="L305" i="18"/>
  <c r="K305" i="18"/>
  <c r="J305" i="18"/>
  <c r="I305" i="18"/>
  <c r="H305" i="18"/>
  <c r="G305" i="18"/>
  <c r="P304" i="18"/>
  <c r="O304" i="18"/>
  <c r="N304" i="18"/>
  <c r="M304" i="18"/>
  <c r="L304" i="18"/>
  <c r="K304" i="18"/>
  <c r="J304" i="18"/>
  <c r="I304" i="18"/>
  <c r="H304" i="18"/>
  <c r="G304" i="18"/>
  <c r="Q304" i="18" s="1"/>
  <c r="P303" i="18"/>
  <c r="O303" i="18"/>
  <c r="N303" i="18"/>
  <c r="M303" i="18"/>
  <c r="L303" i="18"/>
  <c r="K303" i="18"/>
  <c r="J303" i="18"/>
  <c r="I303" i="18"/>
  <c r="H303" i="18"/>
  <c r="G303" i="18"/>
  <c r="Q303" i="18" s="1"/>
  <c r="Q302" i="18"/>
  <c r="P302" i="18"/>
  <c r="O302" i="18"/>
  <c r="N302" i="18"/>
  <c r="M302" i="18"/>
  <c r="L302" i="18"/>
  <c r="K302" i="18"/>
  <c r="J302" i="18"/>
  <c r="I302" i="18"/>
  <c r="H302" i="18"/>
  <c r="G302" i="18"/>
  <c r="P301" i="18"/>
  <c r="O301" i="18"/>
  <c r="N301" i="18"/>
  <c r="M301" i="18"/>
  <c r="L301" i="18"/>
  <c r="K301" i="18"/>
  <c r="J301" i="18"/>
  <c r="I301" i="18"/>
  <c r="H301" i="18"/>
  <c r="G301" i="18"/>
  <c r="P300" i="18"/>
  <c r="O300" i="18"/>
  <c r="N300" i="18"/>
  <c r="M300" i="18"/>
  <c r="L300" i="18"/>
  <c r="K300" i="18"/>
  <c r="J300" i="18"/>
  <c r="I300" i="18"/>
  <c r="H300" i="18"/>
  <c r="G300" i="18"/>
  <c r="P299" i="18"/>
  <c r="O299" i="18"/>
  <c r="N299" i="18"/>
  <c r="M299" i="18"/>
  <c r="L299" i="18"/>
  <c r="K299" i="18"/>
  <c r="J299" i="18"/>
  <c r="I299" i="18"/>
  <c r="H299" i="18"/>
  <c r="G299" i="18"/>
  <c r="Q299" i="18" s="1"/>
  <c r="P298" i="18"/>
  <c r="O298" i="18"/>
  <c r="N298" i="18"/>
  <c r="M298" i="18"/>
  <c r="L298" i="18"/>
  <c r="K298" i="18"/>
  <c r="J298" i="18"/>
  <c r="I298" i="18"/>
  <c r="H298" i="18"/>
  <c r="G298" i="18"/>
  <c r="Q298" i="18" s="1"/>
  <c r="P297" i="18"/>
  <c r="O297" i="18"/>
  <c r="N297" i="18"/>
  <c r="M297" i="18"/>
  <c r="L297" i="18"/>
  <c r="K297" i="18"/>
  <c r="J297" i="18"/>
  <c r="I297" i="18"/>
  <c r="H297" i="18"/>
  <c r="G297" i="18"/>
  <c r="P296" i="18"/>
  <c r="O296" i="18"/>
  <c r="N296" i="18"/>
  <c r="M296" i="18"/>
  <c r="L296" i="18"/>
  <c r="K296" i="18"/>
  <c r="J296" i="18"/>
  <c r="I296" i="18"/>
  <c r="H296" i="18"/>
  <c r="G296" i="18"/>
  <c r="Q296" i="18" s="1"/>
  <c r="P295" i="18"/>
  <c r="O295" i="18"/>
  <c r="N295" i="18"/>
  <c r="M295" i="18"/>
  <c r="L295" i="18"/>
  <c r="K295" i="18"/>
  <c r="J295" i="18"/>
  <c r="I295" i="18"/>
  <c r="H295" i="18"/>
  <c r="G295" i="18"/>
  <c r="Q295" i="18" s="1"/>
  <c r="Q294" i="18"/>
  <c r="P294" i="18"/>
  <c r="O294" i="18"/>
  <c r="N294" i="18"/>
  <c r="M294" i="18"/>
  <c r="L294" i="18"/>
  <c r="K294" i="18"/>
  <c r="J294" i="18"/>
  <c r="I294" i="18"/>
  <c r="H294" i="18"/>
  <c r="G294" i="18"/>
  <c r="P293" i="18"/>
  <c r="O293" i="18"/>
  <c r="N293" i="18"/>
  <c r="M293" i="18"/>
  <c r="L293" i="18"/>
  <c r="K293" i="18"/>
  <c r="J293" i="18"/>
  <c r="I293" i="18"/>
  <c r="H293" i="18"/>
  <c r="G293" i="18"/>
  <c r="P292" i="18"/>
  <c r="O292" i="18"/>
  <c r="N292" i="18"/>
  <c r="M292" i="18"/>
  <c r="L292" i="18"/>
  <c r="K292" i="18"/>
  <c r="J292" i="18"/>
  <c r="I292" i="18"/>
  <c r="H292" i="18"/>
  <c r="G292" i="18"/>
  <c r="P291" i="18"/>
  <c r="O291" i="18"/>
  <c r="N291" i="18"/>
  <c r="M291" i="18"/>
  <c r="L291" i="18"/>
  <c r="K291" i="18"/>
  <c r="J291" i="18"/>
  <c r="I291" i="18"/>
  <c r="H291" i="18"/>
  <c r="G291" i="18"/>
  <c r="Q291" i="18" s="1"/>
  <c r="P290" i="18"/>
  <c r="O290" i="18"/>
  <c r="N290" i="18"/>
  <c r="M290" i="18"/>
  <c r="L290" i="18"/>
  <c r="K290" i="18"/>
  <c r="J290" i="18"/>
  <c r="I290" i="18"/>
  <c r="H290" i="18"/>
  <c r="G290" i="18"/>
  <c r="Q290" i="18" s="1"/>
  <c r="P289" i="18"/>
  <c r="O289" i="18"/>
  <c r="N289" i="18"/>
  <c r="M289" i="18"/>
  <c r="L289" i="18"/>
  <c r="K289" i="18"/>
  <c r="J289" i="18"/>
  <c r="I289" i="18"/>
  <c r="H289" i="18"/>
  <c r="G289" i="18"/>
  <c r="P288" i="18"/>
  <c r="O288" i="18"/>
  <c r="N288" i="18"/>
  <c r="M288" i="18"/>
  <c r="L288" i="18"/>
  <c r="K288" i="18"/>
  <c r="J288" i="18"/>
  <c r="I288" i="18"/>
  <c r="H288" i="18"/>
  <c r="G288" i="18"/>
  <c r="Q288" i="18" s="1"/>
  <c r="P287" i="18"/>
  <c r="O287" i="18"/>
  <c r="N287" i="18"/>
  <c r="M287" i="18"/>
  <c r="L287" i="18"/>
  <c r="K287" i="18"/>
  <c r="J287" i="18"/>
  <c r="I287" i="18"/>
  <c r="H287" i="18"/>
  <c r="G287" i="18"/>
  <c r="Q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P285" i="18"/>
  <c r="O285" i="18"/>
  <c r="N285" i="18"/>
  <c r="M285" i="18"/>
  <c r="L285" i="18"/>
  <c r="K285" i="18"/>
  <c r="J285" i="18"/>
  <c r="I285" i="18"/>
  <c r="H285" i="18"/>
  <c r="G285" i="18"/>
  <c r="P284" i="18"/>
  <c r="O284" i="18"/>
  <c r="N284" i="18"/>
  <c r="M284" i="18"/>
  <c r="L284" i="18"/>
  <c r="K284" i="18"/>
  <c r="J284" i="18"/>
  <c r="I284" i="18"/>
  <c r="H284" i="18"/>
  <c r="G284" i="18"/>
  <c r="P283" i="18"/>
  <c r="O283" i="18"/>
  <c r="N283" i="18"/>
  <c r="M283" i="18"/>
  <c r="L283" i="18"/>
  <c r="K283" i="18"/>
  <c r="J283" i="18"/>
  <c r="I283" i="18"/>
  <c r="H283" i="18"/>
  <c r="G283" i="18"/>
  <c r="Q283" i="18" s="1"/>
  <c r="P282" i="18"/>
  <c r="O282" i="18"/>
  <c r="N282" i="18"/>
  <c r="M282" i="18"/>
  <c r="L282" i="18"/>
  <c r="K282" i="18"/>
  <c r="J282" i="18"/>
  <c r="I282" i="18"/>
  <c r="H282" i="18"/>
  <c r="G282" i="18"/>
  <c r="Q282" i="18" s="1"/>
  <c r="P281" i="18"/>
  <c r="O281" i="18"/>
  <c r="N281" i="18"/>
  <c r="M281" i="18"/>
  <c r="L281" i="18"/>
  <c r="K281" i="18"/>
  <c r="J281" i="18"/>
  <c r="I281" i="18"/>
  <c r="H281" i="18"/>
  <c r="G281" i="18"/>
  <c r="P280" i="18"/>
  <c r="O280" i="18"/>
  <c r="N280" i="18"/>
  <c r="M280" i="18"/>
  <c r="L280" i="18"/>
  <c r="K280" i="18"/>
  <c r="J280" i="18"/>
  <c r="I280" i="18"/>
  <c r="H280" i="18"/>
  <c r="G280" i="18"/>
  <c r="Q280" i="18" s="1"/>
  <c r="P279" i="18"/>
  <c r="O279" i="18"/>
  <c r="N279" i="18"/>
  <c r="M279" i="18"/>
  <c r="L279" i="18"/>
  <c r="K279" i="18"/>
  <c r="J279" i="18"/>
  <c r="I279" i="18"/>
  <c r="H279" i="18"/>
  <c r="G279" i="18"/>
  <c r="Q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Q277" i="18"/>
  <c r="P277" i="18"/>
  <c r="O277" i="18"/>
  <c r="N277" i="18"/>
  <c r="M277" i="18"/>
  <c r="L277" i="18"/>
  <c r="K277" i="18"/>
  <c r="J277" i="18"/>
  <c r="I277" i="18"/>
  <c r="H277" i="18"/>
  <c r="G277" i="18"/>
  <c r="P276" i="18"/>
  <c r="O276" i="18"/>
  <c r="N276" i="18"/>
  <c r="M276" i="18"/>
  <c r="L276" i="18"/>
  <c r="K276" i="18"/>
  <c r="J276" i="18"/>
  <c r="I276" i="18"/>
  <c r="H276" i="18"/>
  <c r="G276" i="18"/>
  <c r="P275" i="18"/>
  <c r="O275" i="18"/>
  <c r="N275" i="18"/>
  <c r="M275" i="18"/>
  <c r="L275" i="18"/>
  <c r="K275" i="18"/>
  <c r="J275" i="18"/>
  <c r="I275" i="18"/>
  <c r="H275" i="18"/>
  <c r="G275" i="18"/>
  <c r="Q275" i="18" s="1"/>
  <c r="P274" i="18"/>
  <c r="O274" i="18"/>
  <c r="N274" i="18"/>
  <c r="M274" i="18"/>
  <c r="L274" i="18"/>
  <c r="K274" i="18"/>
  <c r="J274" i="18"/>
  <c r="I274" i="18"/>
  <c r="H274" i="18"/>
  <c r="G274" i="18"/>
  <c r="Q274" i="18" s="1"/>
  <c r="P273" i="18"/>
  <c r="O273" i="18"/>
  <c r="N273" i="18"/>
  <c r="M273" i="18"/>
  <c r="L273" i="18"/>
  <c r="K273" i="18"/>
  <c r="J273" i="18"/>
  <c r="I273" i="18"/>
  <c r="H273" i="18"/>
  <c r="G273" i="18"/>
  <c r="P272" i="18"/>
  <c r="O272" i="18"/>
  <c r="N272" i="18"/>
  <c r="M272" i="18"/>
  <c r="L272" i="18"/>
  <c r="K272" i="18"/>
  <c r="J272" i="18"/>
  <c r="I272" i="18"/>
  <c r="H272" i="18"/>
  <c r="G272" i="18"/>
  <c r="P271" i="18"/>
  <c r="O271" i="18"/>
  <c r="N271" i="18"/>
  <c r="M271" i="18"/>
  <c r="L271" i="18"/>
  <c r="K271" i="18"/>
  <c r="J271" i="18"/>
  <c r="I271" i="18"/>
  <c r="G271" i="18"/>
  <c r="P270" i="18"/>
  <c r="O270" i="18"/>
  <c r="M270" i="18"/>
  <c r="L270" i="18"/>
  <c r="K270" i="18"/>
  <c r="J270" i="18"/>
  <c r="I270" i="18"/>
  <c r="H270" i="18"/>
  <c r="G270" i="18"/>
  <c r="P269" i="18"/>
  <c r="O269" i="18"/>
  <c r="N269" i="18"/>
  <c r="M269" i="18"/>
  <c r="L269" i="18"/>
  <c r="J269" i="18"/>
  <c r="I269" i="18"/>
  <c r="H269" i="18"/>
  <c r="G269" i="18"/>
  <c r="P268" i="18"/>
  <c r="O268" i="18"/>
  <c r="N268" i="18"/>
  <c r="M268" i="18"/>
  <c r="L268" i="18"/>
  <c r="K268" i="18"/>
  <c r="J268" i="18"/>
  <c r="I268" i="18"/>
  <c r="G268" i="18"/>
  <c r="P267" i="18"/>
  <c r="O267" i="18"/>
  <c r="M267" i="18"/>
  <c r="L267" i="18"/>
  <c r="K267" i="18"/>
  <c r="J267" i="18"/>
  <c r="I267" i="18"/>
  <c r="H267" i="18"/>
  <c r="G267" i="18"/>
  <c r="P266" i="18"/>
  <c r="O266" i="18"/>
  <c r="N266" i="18"/>
  <c r="M266" i="18"/>
  <c r="L266" i="18"/>
  <c r="J266" i="18"/>
  <c r="I266" i="18"/>
  <c r="H266" i="18"/>
  <c r="G266" i="18"/>
  <c r="P265" i="18"/>
  <c r="O265" i="18"/>
  <c r="N265" i="18"/>
  <c r="M265" i="18"/>
  <c r="L265" i="18"/>
  <c r="K265" i="18"/>
  <c r="J265" i="18"/>
  <c r="I265" i="18"/>
  <c r="G265" i="18"/>
  <c r="P264" i="18"/>
  <c r="O264" i="18"/>
  <c r="M264" i="18"/>
  <c r="L264" i="18"/>
  <c r="K264" i="18"/>
  <c r="J264" i="18"/>
  <c r="I264" i="18"/>
  <c r="H264" i="18"/>
  <c r="G264" i="18"/>
  <c r="P263" i="18"/>
  <c r="O263" i="18"/>
  <c r="N263" i="18"/>
  <c r="M263" i="18"/>
  <c r="L263" i="18"/>
  <c r="J263" i="18"/>
  <c r="I263" i="18"/>
  <c r="H263" i="18"/>
  <c r="G263" i="18"/>
  <c r="P262" i="18"/>
  <c r="O262" i="18"/>
  <c r="N262" i="18"/>
  <c r="M262" i="18"/>
  <c r="L262" i="18"/>
  <c r="K262" i="18"/>
  <c r="J262" i="18"/>
  <c r="I262" i="18"/>
  <c r="G262" i="18"/>
  <c r="P261" i="18"/>
  <c r="O261" i="18"/>
  <c r="M261" i="18"/>
  <c r="L261" i="18"/>
  <c r="K261" i="18"/>
  <c r="J261" i="18"/>
  <c r="I261" i="18"/>
  <c r="H261" i="18"/>
  <c r="G261" i="18"/>
  <c r="P260" i="18"/>
  <c r="O260" i="18"/>
  <c r="N260" i="18"/>
  <c r="M260" i="18"/>
  <c r="L260" i="18"/>
  <c r="K260" i="18"/>
  <c r="I260" i="18"/>
  <c r="H260" i="18"/>
  <c r="G260" i="18"/>
  <c r="P259" i="18"/>
  <c r="N259" i="18"/>
  <c r="M259" i="18"/>
  <c r="L259" i="18"/>
  <c r="K259" i="18"/>
  <c r="J259" i="18"/>
  <c r="I259" i="18"/>
  <c r="H259" i="18"/>
  <c r="G259" i="18"/>
  <c r="P258" i="18"/>
  <c r="O258" i="18"/>
  <c r="N258" i="18"/>
  <c r="M258" i="18"/>
  <c r="L258" i="18"/>
  <c r="K258" i="18"/>
  <c r="J258" i="18"/>
  <c r="I258" i="18"/>
  <c r="G258" i="18"/>
  <c r="P257" i="18"/>
  <c r="O257" i="18"/>
  <c r="M257" i="18"/>
  <c r="L257" i="18"/>
  <c r="K257" i="18"/>
  <c r="J257" i="18"/>
  <c r="I257" i="18"/>
  <c r="H257" i="18"/>
  <c r="G257" i="18"/>
  <c r="P256" i="18"/>
  <c r="O256" i="18"/>
  <c r="N256" i="18"/>
  <c r="M256" i="18"/>
  <c r="L256" i="18"/>
  <c r="J256" i="18"/>
  <c r="I256" i="18"/>
  <c r="H256" i="18"/>
  <c r="G256" i="18"/>
  <c r="P255" i="18"/>
  <c r="O255" i="18"/>
  <c r="N255" i="18"/>
  <c r="M255" i="18"/>
  <c r="L255" i="18"/>
  <c r="K255" i="18"/>
  <c r="J255" i="18"/>
  <c r="I255" i="18"/>
  <c r="G255" i="18"/>
  <c r="P254" i="18"/>
  <c r="O254" i="18"/>
  <c r="M254" i="18"/>
  <c r="L254" i="18"/>
  <c r="K254" i="18"/>
  <c r="J254" i="18"/>
  <c r="I254" i="18"/>
  <c r="H254" i="18"/>
  <c r="G254" i="18"/>
  <c r="P253" i="18"/>
  <c r="O253" i="18"/>
  <c r="N253" i="18"/>
  <c r="M253" i="18"/>
  <c r="L253" i="18"/>
  <c r="J253" i="18"/>
  <c r="I253" i="18"/>
  <c r="H253" i="18"/>
  <c r="G253" i="18"/>
  <c r="P252" i="18"/>
  <c r="O252" i="18"/>
  <c r="N252" i="18"/>
  <c r="M252" i="18"/>
  <c r="L252" i="18"/>
  <c r="K252" i="18"/>
  <c r="J252" i="18"/>
  <c r="I252" i="18"/>
  <c r="G252" i="18"/>
  <c r="P251" i="18"/>
  <c r="O251" i="18"/>
  <c r="M251" i="18"/>
  <c r="L251" i="18"/>
  <c r="K251" i="18"/>
  <c r="J251" i="18"/>
  <c r="I251" i="18"/>
  <c r="H251" i="18"/>
  <c r="G251" i="18"/>
  <c r="P250" i="18"/>
  <c r="O250" i="18"/>
  <c r="N250" i="18"/>
  <c r="M250" i="18"/>
  <c r="L250" i="18"/>
  <c r="J250" i="18"/>
  <c r="I250" i="18"/>
  <c r="H250" i="18"/>
  <c r="G250" i="18"/>
  <c r="P249" i="18"/>
  <c r="N249" i="18"/>
  <c r="M249" i="18"/>
  <c r="L249" i="18"/>
  <c r="K249" i="18"/>
  <c r="J249" i="18"/>
  <c r="I249" i="18"/>
  <c r="H249" i="18"/>
  <c r="G249" i="18"/>
  <c r="P248" i="18"/>
  <c r="O248" i="18"/>
  <c r="N248" i="18"/>
  <c r="M248" i="18"/>
  <c r="L248" i="18"/>
  <c r="K248" i="18"/>
  <c r="J248" i="18"/>
  <c r="I248" i="18"/>
  <c r="G248" i="18"/>
  <c r="Q248" i="18" s="1"/>
  <c r="H248" i="18" s="1"/>
  <c r="P247" i="18"/>
  <c r="O247" i="18"/>
  <c r="M247" i="18"/>
  <c r="L247" i="18"/>
  <c r="K247" i="18"/>
  <c r="J247" i="18"/>
  <c r="I247" i="18"/>
  <c r="H247" i="18"/>
  <c r="G247" i="18"/>
  <c r="P246" i="18"/>
  <c r="O246" i="18"/>
  <c r="N246" i="18"/>
  <c r="M246" i="18"/>
  <c r="L246" i="18"/>
  <c r="J246" i="18"/>
  <c r="I246" i="18"/>
  <c r="H246" i="18"/>
  <c r="G246" i="18"/>
  <c r="P245" i="18"/>
  <c r="O245" i="18"/>
  <c r="N245" i="18"/>
  <c r="M245" i="18"/>
  <c r="L245" i="18"/>
  <c r="K245" i="18"/>
  <c r="J245" i="18"/>
  <c r="I245" i="18"/>
  <c r="G245" i="18"/>
  <c r="P244" i="18"/>
  <c r="O244" i="18"/>
  <c r="M244" i="18"/>
  <c r="L244" i="18"/>
  <c r="K244" i="18"/>
  <c r="J244" i="18"/>
  <c r="I244" i="18"/>
  <c r="H244" i="18"/>
  <c r="G244" i="18"/>
  <c r="P243" i="18"/>
  <c r="O243" i="18"/>
  <c r="N243" i="18"/>
  <c r="M243" i="18"/>
  <c r="L243" i="18"/>
  <c r="J243" i="18"/>
  <c r="I243" i="18"/>
  <c r="H243" i="18"/>
  <c r="G243" i="18"/>
  <c r="P242" i="18"/>
  <c r="O242" i="18"/>
  <c r="N242" i="18"/>
  <c r="M242" i="18"/>
  <c r="L242" i="18"/>
  <c r="K242" i="18"/>
  <c r="J242" i="18"/>
  <c r="I242" i="18"/>
  <c r="G242" i="18"/>
  <c r="P241" i="18"/>
  <c r="O241" i="18"/>
  <c r="M241" i="18"/>
  <c r="L241" i="18"/>
  <c r="K241" i="18"/>
  <c r="J241" i="18"/>
  <c r="I241" i="18"/>
  <c r="H241" i="18"/>
  <c r="G241" i="18"/>
  <c r="P240" i="18"/>
  <c r="N240" i="18"/>
  <c r="M240" i="18"/>
  <c r="L240" i="18"/>
  <c r="K240" i="18"/>
  <c r="J240" i="18"/>
  <c r="I240" i="18"/>
  <c r="H240" i="18"/>
  <c r="G240" i="18"/>
  <c r="P239" i="18"/>
  <c r="O239" i="18"/>
  <c r="N239" i="18"/>
  <c r="M239" i="18"/>
  <c r="L239" i="18"/>
  <c r="J239" i="18"/>
  <c r="I239" i="18"/>
  <c r="H239" i="18"/>
  <c r="G239" i="18"/>
  <c r="P238" i="18"/>
  <c r="O238" i="18"/>
  <c r="N238" i="18"/>
  <c r="M238" i="18"/>
  <c r="L238" i="18"/>
  <c r="K238" i="18"/>
  <c r="J238" i="18"/>
  <c r="I238" i="18"/>
  <c r="G238" i="18"/>
  <c r="P237" i="18"/>
  <c r="O237" i="18"/>
  <c r="M237" i="18"/>
  <c r="L237" i="18"/>
  <c r="K237" i="18"/>
  <c r="J237" i="18"/>
  <c r="I237" i="18"/>
  <c r="H237" i="18"/>
  <c r="G237" i="18"/>
  <c r="P236" i="18"/>
  <c r="O236" i="18"/>
  <c r="N236" i="18"/>
  <c r="M236" i="18"/>
  <c r="L236" i="18"/>
  <c r="J236" i="18"/>
  <c r="I236" i="18"/>
  <c r="H236" i="18"/>
  <c r="G236" i="18"/>
  <c r="P235" i="18"/>
  <c r="O235" i="18"/>
  <c r="N235" i="18"/>
  <c r="M235" i="18"/>
  <c r="L235" i="18"/>
  <c r="K235" i="18"/>
  <c r="J235" i="18"/>
  <c r="I235" i="18"/>
  <c r="G235" i="18"/>
  <c r="P234" i="18"/>
  <c r="O234" i="18"/>
  <c r="M234" i="18"/>
  <c r="L234" i="18"/>
  <c r="K234" i="18"/>
  <c r="J234" i="18"/>
  <c r="I234" i="18"/>
  <c r="H234" i="18"/>
  <c r="G234" i="18"/>
  <c r="P233" i="18"/>
  <c r="O233" i="18"/>
  <c r="N233" i="18"/>
  <c r="M233" i="18"/>
  <c r="L233" i="18"/>
  <c r="J233" i="18"/>
  <c r="I233" i="18"/>
  <c r="H233" i="18"/>
  <c r="G233" i="18"/>
  <c r="P232" i="18"/>
  <c r="O232" i="18"/>
  <c r="N232" i="18"/>
  <c r="M232" i="18"/>
  <c r="L232" i="18"/>
  <c r="K232" i="18"/>
  <c r="J232" i="18"/>
  <c r="I232" i="18"/>
  <c r="G232" i="18"/>
  <c r="P231" i="18"/>
  <c r="O231" i="18"/>
  <c r="M231" i="18"/>
  <c r="L231" i="18"/>
  <c r="K231" i="18"/>
  <c r="J231" i="18"/>
  <c r="I231" i="18"/>
  <c r="H231" i="18"/>
  <c r="G231" i="18"/>
  <c r="P230" i="18"/>
  <c r="O230" i="18"/>
  <c r="N230" i="18"/>
  <c r="M230" i="18"/>
  <c r="L230" i="18"/>
  <c r="J230" i="18"/>
  <c r="I230" i="18"/>
  <c r="H230" i="18"/>
  <c r="G230" i="18"/>
  <c r="P229" i="18"/>
  <c r="O229" i="18"/>
  <c r="N229" i="18"/>
  <c r="M229" i="18"/>
  <c r="L229" i="18"/>
  <c r="K229" i="18"/>
  <c r="J229" i="18"/>
  <c r="I229" i="18"/>
  <c r="G229" i="18"/>
  <c r="P228" i="18"/>
  <c r="O228" i="18"/>
  <c r="M228" i="18"/>
  <c r="L228" i="18"/>
  <c r="K228" i="18"/>
  <c r="J228" i="18"/>
  <c r="I228" i="18"/>
  <c r="H228" i="18"/>
  <c r="G228" i="18"/>
  <c r="P227" i="18"/>
  <c r="O227" i="18"/>
  <c r="N227" i="18"/>
  <c r="M227" i="18"/>
  <c r="L227" i="18"/>
  <c r="J227" i="18"/>
  <c r="I227" i="18"/>
  <c r="H227" i="18"/>
  <c r="G227" i="18"/>
  <c r="P226" i="18"/>
  <c r="O226" i="18"/>
  <c r="N226" i="18"/>
  <c r="M226" i="18"/>
  <c r="L226" i="18"/>
  <c r="K226" i="18"/>
  <c r="J226" i="18"/>
  <c r="I226" i="18"/>
  <c r="G226" i="18"/>
  <c r="P225" i="18"/>
  <c r="O225" i="18"/>
  <c r="M225" i="18"/>
  <c r="L225" i="18"/>
  <c r="K225" i="18"/>
  <c r="J225" i="18"/>
  <c r="I225" i="18"/>
  <c r="H225" i="18"/>
  <c r="G225" i="18"/>
  <c r="P224" i="18"/>
  <c r="O224" i="18"/>
  <c r="N224" i="18"/>
  <c r="M224" i="18"/>
  <c r="L224" i="18"/>
  <c r="J224" i="18"/>
  <c r="I224" i="18"/>
  <c r="H224" i="18"/>
  <c r="G224" i="18"/>
  <c r="P223" i="18"/>
  <c r="O223" i="18"/>
  <c r="N223" i="18"/>
  <c r="M223" i="18"/>
  <c r="L223" i="18"/>
  <c r="K223" i="18"/>
  <c r="J223" i="18"/>
  <c r="I223" i="18"/>
  <c r="G223" i="18"/>
  <c r="P222" i="18"/>
  <c r="O222" i="18"/>
  <c r="M222" i="18"/>
  <c r="L222" i="18"/>
  <c r="K222" i="18"/>
  <c r="J222" i="18"/>
  <c r="I222" i="18"/>
  <c r="H222" i="18"/>
  <c r="G222" i="18"/>
  <c r="P221" i="18"/>
  <c r="N221" i="18"/>
  <c r="M221" i="18"/>
  <c r="L221" i="18"/>
  <c r="K221" i="18"/>
  <c r="J221" i="18"/>
  <c r="I221" i="18"/>
  <c r="H221" i="18"/>
  <c r="G221" i="18"/>
  <c r="P220" i="18"/>
  <c r="O220" i="18"/>
  <c r="N220" i="18"/>
  <c r="M220" i="18"/>
  <c r="L220" i="18"/>
  <c r="J220" i="18"/>
  <c r="I220" i="18"/>
  <c r="H220" i="18"/>
  <c r="G220" i="18"/>
  <c r="P219" i="18"/>
  <c r="O219" i="18"/>
  <c r="N219" i="18"/>
  <c r="M219" i="18"/>
  <c r="L219" i="18"/>
  <c r="K219" i="18"/>
  <c r="J219" i="18"/>
  <c r="I219" i="18"/>
  <c r="G219" i="18"/>
  <c r="P218" i="18"/>
  <c r="O218" i="18"/>
  <c r="M218" i="18"/>
  <c r="L218" i="18"/>
  <c r="K218" i="18"/>
  <c r="J218" i="18"/>
  <c r="I218" i="18"/>
  <c r="H218" i="18"/>
  <c r="G218" i="18"/>
  <c r="P217" i="18"/>
  <c r="O217" i="18"/>
  <c r="N217" i="18"/>
  <c r="M217" i="18"/>
  <c r="L217" i="18"/>
  <c r="J217" i="18"/>
  <c r="I217" i="18"/>
  <c r="H217" i="18"/>
  <c r="G217" i="18"/>
  <c r="P216" i="18"/>
  <c r="O216" i="18"/>
  <c r="N216" i="18"/>
  <c r="M216" i="18"/>
  <c r="L216" i="18"/>
  <c r="K216" i="18"/>
  <c r="J216" i="18"/>
  <c r="I216" i="18"/>
  <c r="G216" i="18"/>
  <c r="P215" i="18"/>
  <c r="O215" i="18"/>
  <c r="M215" i="18"/>
  <c r="L215" i="18"/>
  <c r="K215" i="18"/>
  <c r="J215" i="18"/>
  <c r="I215" i="18"/>
  <c r="H215" i="18"/>
  <c r="G215" i="18"/>
  <c r="P214" i="18"/>
  <c r="O214" i="18"/>
  <c r="N214" i="18"/>
  <c r="M214" i="18"/>
  <c r="L214" i="18"/>
  <c r="J214" i="18"/>
  <c r="I214" i="18"/>
  <c r="H214" i="18"/>
  <c r="G214" i="18"/>
  <c r="P213" i="18"/>
  <c r="O213" i="18"/>
  <c r="N213" i="18"/>
  <c r="M213" i="18"/>
  <c r="L213" i="18"/>
  <c r="K213" i="18"/>
  <c r="J213" i="18"/>
  <c r="I213" i="18"/>
  <c r="G213" i="18"/>
  <c r="P212" i="18"/>
  <c r="O212" i="18"/>
  <c r="M212" i="18"/>
  <c r="L212" i="18"/>
  <c r="K212" i="18"/>
  <c r="J212" i="18"/>
  <c r="I212" i="18"/>
  <c r="H212" i="18"/>
  <c r="G212" i="18"/>
  <c r="P211" i="18"/>
  <c r="O211" i="18"/>
  <c r="N211" i="18"/>
  <c r="M211" i="18"/>
  <c r="L211" i="18"/>
  <c r="J211" i="18"/>
  <c r="I211" i="18"/>
  <c r="H211" i="18"/>
  <c r="G211" i="18"/>
  <c r="Q212" i="18" s="1"/>
  <c r="N212" i="18" s="1"/>
  <c r="P210" i="18"/>
  <c r="O210" i="18"/>
  <c r="N210" i="18"/>
  <c r="M210" i="18"/>
  <c r="L210" i="18"/>
  <c r="K210" i="18"/>
  <c r="J210" i="18"/>
  <c r="I210" i="18"/>
  <c r="G210" i="18"/>
  <c r="P209" i="18"/>
  <c r="O209" i="18"/>
  <c r="M209" i="18"/>
  <c r="L209" i="18"/>
  <c r="K209" i="18"/>
  <c r="J209" i="18"/>
  <c r="I209" i="18"/>
  <c r="H209" i="18"/>
  <c r="G209" i="18"/>
  <c r="P208" i="18"/>
  <c r="O208" i="18"/>
  <c r="N208" i="18"/>
  <c r="M208" i="18"/>
  <c r="L208" i="18"/>
  <c r="J208" i="18"/>
  <c r="I208" i="18"/>
  <c r="H208" i="18"/>
  <c r="G208" i="18"/>
  <c r="P207" i="18"/>
  <c r="O207" i="18"/>
  <c r="N207" i="18"/>
  <c r="M207" i="18"/>
  <c r="L207" i="18"/>
  <c r="K207" i="18"/>
  <c r="J207" i="18"/>
  <c r="I207" i="18"/>
  <c r="G207" i="18"/>
  <c r="P206" i="18"/>
  <c r="O206" i="18"/>
  <c r="M206" i="18"/>
  <c r="L206" i="18"/>
  <c r="K206" i="18"/>
  <c r="J206" i="18"/>
  <c r="I206" i="18"/>
  <c r="H206" i="18"/>
  <c r="G206" i="18"/>
  <c r="P205" i="18"/>
  <c r="O205" i="18"/>
  <c r="N205" i="18"/>
  <c r="M205" i="18"/>
  <c r="L205" i="18"/>
  <c r="J205" i="18"/>
  <c r="I205" i="18"/>
  <c r="H205" i="18"/>
  <c r="G205" i="18"/>
  <c r="P204" i="18"/>
  <c r="O204" i="18"/>
  <c r="N204" i="18"/>
  <c r="M204" i="18"/>
  <c r="L204" i="18"/>
  <c r="K204" i="18"/>
  <c r="J204" i="18"/>
  <c r="I204" i="18"/>
  <c r="G204" i="18"/>
  <c r="P203" i="18"/>
  <c r="O203" i="18"/>
  <c r="M203" i="18"/>
  <c r="L203" i="18"/>
  <c r="K203" i="18"/>
  <c r="J203" i="18"/>
  <c r="I203" i="18"/>
  <c r="H203" i="18"/>
  <c r="G203" i="18"/>
  <c r="P202" i="18"/>
  <c r="N202" i="18"/>
  <c r="M202" i="18"/>
  <c r="L202" i="18"/>
  <c r="K202" i="18"/>
  <c r="J202" i="18"/>
  <c r="I202" i="18"/>
  <c r="H202" i="18"/>
  <c r="G202" i="18"/>
  <c r="P201" i="18"/>
  <c r="O201" i="18"/>
  <c r="N201" i="18"/>
  <c r="M201" i="18"/>
  <c r="L201" i="18"/>
  <c r="J201" i="18"/>
  <c r="I201" i="18"/>
  <c r="H201" i="18"/>
  <c r="G201" i="18"/>
  <c r="P200" i="18"/>
  <c r="O200" i="18"/>
  <c r="N200" i="18"/>
  <c r="M200" i="18"/>
  <c r="L200" i="18"/>
  <c r="K200" i="18"/>
  <c r="J200" i="18"/>
  <c r="I200" i="18"/>
  <c r="G200" i="18"/>
  <c r="P199" i="18"/>
  <c r="O199" i="18"/>
  <c r="M199" i="18"/>
  <c r="L199" i="18"/>
  <c r="K199" i="18"/>
  <c r="J199" i="18"/>
  <c r="I199" i="18"/>
  <c r="H199" i="18"/>
  <c r="G199" i="18"/>
  <c r="P198" i="18"/>
  <c r="O198" i="18"/>
  <c r="N198" i="18"/>
  <c r="M198" i="18"/>
  <c r="L198" i="18"/>
  <c r="J198" i="18"/>
  <c r="I198" i="18"/>
  <c r="H198" i="18"/>
  <c r="G198" i="18"/>
  <c r="P197" i="18"/>
  <c r="O197" i="18"/>
  <c r="N197" i="18"/>
  <c r="M197" i="18"/>
  <c r="L197" i="18"/>
  <c r="K197" i="18"/>
  <c r="J197" i="18"/>
  <c r="I197" i="18"/>
  <c r="G197" i="18"/>
  <c r="P196" i="18"/>
  <c r="O196" i="18"/>
  <c r="M196" i="18"/>
  <c r="L196" i="18"/>
  <c r="K196" i="18"/>
  <c r="J196" i="18"/>
  <c r="I196" i="18"/>
  <c r="H196" i="18"/>
  <c r="G196" i="18"/>
  <c r="P195" i="18"/>
  <c r="O195" i="18"/>
  <c r="N195" i="18"/>
  <c r="M195" i="18"/>
  <c r="L195" i="18"/>
  <c r="J195" i="18"/>
  <c r="I195" i="18"/>
  <c r="H195" i="18"/>
  <c r="G195" i="18"/>
  <c r="P194" i="18"/>
  <c r="O194" i="18"/>
  <c r="N194" i="18"/>
  <c r="M194" i="18"/>
  <c r="L194" i="18"/>
  <c r="K194" i="18"/>
  <c r="J194" i="18"/>
  <c r="I194" i="18"/>
  <c r="G194" i="18"/>
  <c r="P193" i="18"/>
  <c r="O193" i="18"/>
  <c r="M193" i="18"/>
  <c r="L193" i="18"/>
  <c r="K193" i="18"/>
  <c r="J193" i="18"/>
  <c r="I193" i="18"/>
  <c r="H193" i="18"/>
  <c r="G193" i="18"/>
  <c r="P192" i="18"/>
  <c r="O192" i="18"/>
  <c r="N192" i="18"/>
  <c r="M192" i="18"/>
  <c r="L192" i="18"/>
  <c r="J192" i="18"/>
  <c r="I192" i="18"/>
  <c r="H192" i="18"/>
  <c r="G192" i="18"/>
  <c r="P191" i="18"/>
  <c r="O191" i="18"/>
  <c r="N191" i="18"/>
  <c r="M191" i="18"/>
  <c r="L191" i="18"/>
  <c r="K191" i="18"/>
  <c r="J191" i="18"/>
  <c r="I191" i="18"/>
  <c r="G191" i="18"/>
  <c r="P190" i="18"/>
  <c r="O190" i="18"/>
  <c r="M190" i="18"/>
  <c r="L190" i="18"/>
  <c r="K190" i="18"/>
  <c r="J190" i="18"/>
  <c r="I190" i="18"/>
  <c r="H190" i="18"/>
  <c r="G190" i="18"/>
  <c r="P189" i="18"/>
  <c r="O189" i="18"/>
  <c r="N189" i="18"/>
  <c r="M189" i="18"/>
  <c r="L189" i="18"/>
  <c r="J189" i="18"/>
  <c r="I189" i="18"/>
  <c r="H189" i="18"/>
  <c r="G189" i="18"/>
  <c r="P188" i="18"/>
  <c r="O188" i="18"/>
  <c r="N188" i="18"/>
  <c r="M188" i="18"/>
  <c r="L188" i="18"/>
  <c r="K188" i="18"/>
  <c r="J188" i="18"/>
  <c r="I188" i="18"/>
  <c r="G188" i="18"/>
  <c r="P187" i="18"/>
  <c r="O187" i="18"/>
  <c r="M187" i="18"/>
  <c r="L187" i="18"/>
  <c r="K187" i="18"/>
  <c r="J187" i="18"/>
  <c r="I187" i="18"/>
  <c r="H187" i="18"/>
  <c r="G187" i="18"/>
  <c r="P186" i="18"/>
  <c r="O186" i="18"/>
  <c r="N186" i="18"/>
  <c r="M186" i="18"/>
  <c r="L186" i="18"/>
  <c r="J186" i="18"/>
  <c r="I186" i="18"/>
  <c r="H186" i="18"/>
  <c r="G186" i="18"/>
  <c r="P185" i="18"/>
  <c r="O185" i="18"/>
  <c r="N185" i="18"/>
  <c r="M185" i="18"/>
  <c r="L185" i="18"/>
  <c r="K185" i="18"/>
  <c r="J185" i="18"/>
  <c r="I185" i="18"/>
  <c r="G185" i="18"/>
  <c r="P184" i="18"/>
  <c r="O184" i="18"/>
  <c r="M184" i="18"/>
  <c r="L184" i="18"/>
  <c r="K184" i="18"/>
  <c r="J184" i="18"/>
  <c r="I184" i="18"/>
  <c r="H184" i="18"/>
  <c r="G184" i="18"/>
  <c r="P183" i="18"/>
  <c r="N183" i="18"/>
  <c r="M183" i="18"/>
  <c r="L183" i="18"/>
  <c r="K183" i="18"/>
  <c r="J183" i="18"/>
  <c r="I183" i="18"/>
  <c r="H183" i="18"/>
  <c r="G183" i="18"/>
  <c r="P182" i="18"/>
  <c r="O182" i="18"/>
  <c r="N182" i="18"/>
  <c r="M182" i="18"/>
  <c r="L182" i="18"/>
  <c r="K182" i="18"/>
  <c r="I182" i="18"/>
  <c r="H182" i="18"/>
  <c r="G182" i="18"/>
  <c r="P181" i="18"/>
  <c r="O181" i="18"/>
  <c r="N181" i="18"/>
  <c r="M181" i="18"/>
  <c r="L181" i="18"/>
  <c r="K181" i="18"/>
  <c r="J181" i="18"/>
  <c r="I181" i="18"/>
  <c r="G181" i="18"/>
  <c r="P180" i="18"/>
  <c r="O180" i="18"/>
  <c r="M180" i="18"/>
  <c r="L180" i="18"/>
  <c r="K180" i="18"/>
  <c r="J180" i="18"/>
  <c r="I180" i="18"/>
  <c r="H180" i="18"/>
  <c r="G180" i="18"/>
  <c r="P179" i="18"/>
  <c r="O179" i="18"/>
  <c r="N179" i="18"/>
  <c r="M179" i="18"/>
  <c r="L179" i="18"/>
  <c r="J179" i="18"/>
  <c r="I179" i="18"/>
  <c r="H179" i="18"/>
  <c r="G179" i="18"/>
  <c r="P178" i="18"/>
  <c r="O178" i="18"/>
  <c r="N178" i="18"/>
  <c r="M178" i="18"/>
  <c r="L178" i="18"/>
  <c r="K178" i="18"/>
  <c r="J178" i="18"/>
  <c r="I178" i="18"/>
  <c r="G178" i="18"/>
  <c r="P177" i="18"/>
  <c r="O177" i="18"/>
  <c r="M177" i="18"/>
  <c r="L177" i="18"/>
  <c r="K177" i="18"/>
  <c r="J177" i="18"/>
  <c r="I177" i="18"/>
  <c r="H177" i="18"/>
  <c r="G177" i="18"/>
  <c r="P176" i="18"/>
  <c r="O176" i="18"/>
  <c r="N176" i="18"/>
  <c r="M176" i="18"/>
  <c r="L176" i="18"/>
  <c r="J176" i="18"/>
  <c r="I176" i="18"/>
  <c r="H176" i="18"/>
  <c r="G176" i="18"/>
  <c r="P175" i="18"/>
  <c r="O175" i="18"/>
  <c r="N175" i="18"/>
  <c r="M175" i="18"/>
  <c r="L175" i="18"/>
  <c r="K175" i="18"/>
  <c r="J175" i="18"/>
  <c r="I175" i="18"/>
  <c r="G175" i="18"/>
  <c r="P174" i="18"/>
  <c r="O174" i="18"/>
  <c r="M174" i="18"/>
  <c r="L174" i="18"/>
  <c r="K174" i="18"/>
  <c r="J174" i="18"/>
  <c r="I174" i="18"/>
  <c r="H174" i="18"/>
  <c r="G174" i="18"/>
  <c r="P173" i="18"/>
  <c r="O173" i="18"/>
  <c r="N173" i="18"/>
  <c r="M173" i="18"/>
  <c r="L173" i="18"/>
  <c r="J173" i="18"/>
  <c r="I173" i="18"/>
  <c r="H173" i="18"/>
  <c r="G173" i="18"/>
  <c r="P172" i="18"/>
  <c r="O172" i="18"/>
  <c r="N172" i="18"/>
  <c r="M172" i="18"/>
  <c r="L172" i="18"/>
  <c r="K172" i="18"/>
  <c r="J172" i="18"/>
  <c r="I172" i="18"/>
  <c r="G172" i="18"/>
  <c r="P171" i="18"/>
  <c r="O171" i="18"/>
  <c r="M171" i="18"/>
  <c r="L171" i="18"/>
  <c r="K171" i="18"/>
  <c r="J171" i="18"/>
  <c r="I171" i="18"/>
  <c r="H171" i="18"/>
  <c r="G171" i="18"/>
  <c r="P170" i="18"/>
  <c r="O170" i="18"/>
  <c r="N170" i="18"/>
  <c r="M170" i="18"/>
  <c r="L170" i="18"/>
  <c r="J170" i="18"/>
  <c r="I170" i="18"/>
  <c r="H170" i="18"/>
  <c r="G170" i="18"/>
  <c r="P169" i="18"/>
  <c r="O169" i="18"/>
  <c r="N169" i="18"/>
  <c r="M169" i="18"/>
  <c r="L169" i="18"/>
  <c r="K169" i="18"/>
  <c r="J169" i="18"/>
  <c r="I169" i="18"/>
  <c r="G169" i="18"/>
  <c r="P168" i="18"/>
  <c r="O168" i="18"/>
  <c r="M168" i="18"/>
  <c r="L168" i="18"/>
  <c r="K168" i="18"/>
  <c r="J168" i="18"/>
  <c r="I168" i="18"/>
  <c r="H168" i="18"/>
  <c r="G168" i="18"/>
  <c r="P167" i="18"/>
  <c r="O167" i="18"/>
  <c r="N167" i="18"/>
  <c r="M167" i="18"/>
  <c r="L167" i="18"/>
  <c r="J167" i="18"/>
  <c r="I167" i="18"/>
  <c r="H167" i="18"/>
  <c r="G167" i="18"/>
  <c r="P166" i="18"/>
  <c r="O166" i="18"/>
  <c r="N166" i="18"/>
  <c r="M166" i="18"/>
  <c r="L166" i="18"/>
  <c r="K166" i="18"/>
  <c r="J166" i="18"/>
  <c r="I166" i="18"/>
  <c r="G166" i="18"/>
  <c r="P165" i="18"/>
  <c r="O165" i="18"/>
  <c r="M165" i="18"/>
  <c r="L165" i="18"/>
  <c r="K165" i="18"/>
  <c r="J165" i="18"/>
  <c r="I165" i="18"/>
  <c r="G165" i="18"/>
  <c r="P164" i="18"/>
  <c r="M164" i="18"/>
  <c r="L164" i="18"/>
  <c r="K164" i="18"/>
  <c r="J164" i="18"/>
  <c r="I164" i="18"/>
  <c r="H164" i="18"/>
  <c r="G164" i="18"/>
  <c r="P163" i="18"/>
  <c r="O163" i="18"/>
  <c r="N163" i="18"/>
  <c r="M163" i="18"/>
  <c r="L163" i="18"/>
  <c r="I163" i="18"/>
  <c r="H163" i="18"/>
  <c r="G163" i="18"/>
  <c r="P162" i="18"/>
  <c r="O162" i="18"/>
  <c r="N162" i="18"/>
  <c r="L162" i="18"/>
  <c r="K162" i="18"/>
  <c r="J162" i="18"/>
  <c r="I162" i="18"/>
  <c r="H162" i="18"/>
  <c r="G162" i="18"/>
  <c r="P161" i="18"/>
  <c r="O161" i="18"/>
  <c r="N161" i="18"/>
  <c r="M161" i="18"/>
  <c r="L161" i="18"/>
  <c r="K161" i="18"/>
  <c r="I161" i="18"/>
  <c r="H161" i="18"/>
  <c r="G161" i="18"/>
  <c r="P160" i="18"/>
  <c r="O160" i="18"/>
  <c r="N160" i="18"/>
  <c r="M160" i="18"/>
  <c r="L160" i="18"/>
  <c r="K160" i="18"/>
  <c r="J160" i="18"/>
  <c r="I160" i="18"/>
  <c r="G160" i="18"/>
  <c r="P159" i="18"/>
  <c r="O159" i="18"/>
  <c r="M159" i="18"/>
  <c r="L159" i="18"/>
  <c r="K159" i="18"/>
  <c r="J159" i="18"/>
  <c r="I159" i="18"/>
  <c r="H159" i="18"/>
  <c r="G159" i="18"/>
  <c r="P158" i="18"/>
  <c r="O158" i="18"/>
  <c r="N158" i="18"/>
  <c r="M158" i="18"/>
  <c r="L158" i="18"/>
  <c r="J158" i="18"/>
  <c r="I158" i="18"/>
  <c r="H158" i="18"/>
  <c r="G158" i="18"/>
  <c r="P157" i="18"/>
  <c r="O157" i="18"/>
  <c r="N157" i="18"/>
  <c r="M157" i="18"/>
  <c r="L157" i="18"/>
  <c r="K157" i="18"/>
  <c r="J157" i="18"/>
  <c r="I157" i="18"/>
  <c r="G157" i="18"/>
  <c r="P156" i="18"/>
  <c r="O156" i="18"/>
  <c r="N156" i="18"/>
  <c r="M156" i="18"/>
  <c r="L156" i="18"/>
  <c r="K156" i="18"/>
  <c r="J156" i="18"/>
  <c r="I156" i="18"/>
  <c r="G156" i="18"/>
  <c r="P155" i="18"/>
  <c r="O155" i="18"/>
  <c r="N155" i="18"/>
  <c r="M155" i="18"/>
  <c r="L155" i="18"/>
  <c r="K155" i="18"/>
  <c r="J155" i="18"/>
  <c r="I155" i="18"/>
  <c r="G155" i="18"/>
  <c r="P154" i="18"/>
  <c r="O154" i="18"/>
  <c r="N154" i="18"/>
  <c r="M154" i="18"/>
  <c r="L154" i="18"/>
  <c r="K154" i="18"/>
  <c r="J154" i="18"/>
  <c r="I154" i="18"/>
  <c r="G154" i="18"/>
  <c r="P153" i="18"/>
  <c r="O153" i="18"/>
  <c r="N153" i="18"/>
  <c r="M153" i="18"/>
  <c r="L153" i="18"/>
  <c r="K153" i="18"/>
  <c r="J153" i="18"/>
  <c r="I153" i="18"/>
  <c r="G153" i="18"/>
  <c r="P152" i="18"/>
  <c r="O152" i="18"/>
  <c r="M152" i="18"/>
  <c r="L152" i="18"/>
  <c r="K152" i="18"/>
  <c r="J152" i="18"/>
  <c r="I152" i="18"/>
  <c r="H152" i="18"/>
  <c r="G152" i="18"/>
  <c r="P151" i="18"/>
  <c r="O151" i="18"/>
  <c r="N151" i="18"/>
  <c r="M151" i="18"/>
  <c r="L151" i="18"/>
  <c r="J151" i="18"/>
  <c r="I151" i="18"/>
  <c r="H151" i="18"/>
  <c r="G151" i="18"/>
  <c r="P150" i="18"/>
  <c r="O150" i="18"/>
  <c r="N150" i="18"/>
  <c r="M150" i="18"/>
  <c r="L150" i="18"/>
  <c r="K150" i="18"/>
  <c r="J150" i="18"/>
  <c r="I150" i="18"/>
  <c r="G150" i="18"/>
  <c r="P149" i="18"/>
  <c r="O149" i="18"/>
  <c r="N149" i="18"/>
  <c r="M149" i="18"/>
  <c r="L149" i="18"/>
  <c r="K149" i="18"/>
  <c r="J149" i="18"/>
  <c r="I149" i="18"/>
  <c r="G149" i="18"/>
  <c r="P148" i="18"/>
  <c r="O148" i="18"/>
  <c r="N148" i="18"/>
  <c r="M148" i="18"/>
  <c r="L148" i="18"/>
  <c r="K148" i="18"/>
  <c r="J148" i="18"/>
  <c r="I148" i="18"/>
  <c r="G148" i="18"/>
  <c r="P147" i="18"/>
  <c r="O147" i="18"/>
  <c r="N147" i="18"/>
  <c r="M147" i="18"/>
  <c r="L147" i="18"/>
  <c r="K147" i="18"/>
  <c r="J147" i="18"/>
  <c r="I147" i="18"/>
  <c r="G147" i="18"/>
  <c r="P146" i="18"/>
  <c r="O146" i="18"/>
  <c r="N146" i="18"/>
  <c r="M146" i="18"/>
  <c r="L146" i="18"/>
  <c r="K146" i="18"/>
  <c r="J146" i="18"/>
  <c r="I146" i="18"/>
  <c r="G146" i="18"/>
  <c r="P145" i="18"/>
  <c r="O145" i="18"/>
  <c r="N145" i="18"/>
  <c r="M145" i="18"/>
  <c r="L145" i="18"/>
  <c r="K145" i="18"/>
  <c r="J145" i="18"/>
  <c r="I145" i="18"/>
  <c r="G145" i="18"/>
  <c r="P144" i="18"/>
  <c r="O144" i="18"/>
  <c r="M144" i="18"/>
  <c r="L144" i="18"/>
  <c r="K144" i="18"/>
  <c r="J144" i="18"/>
  <c r="I144" i="18"/>
  <c r="H144" i="18"/>
  <c r="G144" i="18"/>
  <c r="P143" i="18"/>
  <c r="O143" i="18"/>
  <c r="N143" i="18"/>
  <c r="M143" i="18"/>
  <c r="L143" i="18"/>
  <c r="J143" i="18"/>
  <c r="I143" i="18"/>
  <c r="H143" i="18"/>
  <c r="G143" i="18"/>
  <c r="P142" i="18"/>
  <c r="O142" i="18"/>
  <c r="N142" i="18"/>
  <c r="M142" i="18"/>
  <c r="L142" i="18"/>
  <c r="K142" i="18"/>
  <c r="J142" i="18"/>
  <c r="I142" i="18"/>
  <c r="G142" i="18"/>
  <c r="Q142" i="18" s="1"/>
  <c r="H142" i="18" s="1"/>
  <c r="P141" i="18"/>
  <c r="O141" i="18"/>
  <c r="N141" i="18"/>
  <c r="M141" i="18"/>
  <c r="L141" i="18"/>
  <c r="K141" i="18"/>
  <c r="J141" i="18"/>
  <c r="I141" i="18"/>
  <c r="G141" i="18"/>
  <c r="P140" i="18"/>
  <c r="O140" i="18"/>
  <c r="N140" i="18"/>
  <c r="M140" i="18"/>
  <c r="L140" i="18"/>
  <c r="K140" i="18"/>
  <c r="J140" i="18"/>
  <c r="I140" i="18"/>
  <c r="G140" i="18"/>
  <c r="P139" i="18"/>
  <c r="O139" i="18"/>
  <c r="N139" i="18"/>
  <c r="M139" i="18"/>
  <c r="L139" i="18"/>
  <c r="K139" i="18"/>
  <c r="J139" i="18"/>
  <c r="I139" i="18"/>
  <c r="G139" i="18"/>
  <c r="P138" i="18"/>
  <c r="O138" i="18"/>
  <c r="N138" i="18"/>
  <c r="M138" i="18"/>
  <c r="L138" i="18"/>
  <c r="K138" i="18"/>
  <c r="J138" i="18"/>
  <c r="I138" i="18"/>
  <c r="H138" i="18"/>
  <c r="G138" i="18"/>
  <c r="P137" i="18"/>
  <c r="O137" i="18"/>
  <c r="M137" i="18"/>
  <c r="L137" i="18"/>
  <c r="K137" i="18"/>
  <c r="J137" i="18"/>
  <c r="I137" i="18"/>
  <c r="H137" i="18"/>
  <c r="G137" i="18"/>
  <c r="P136" i="18"/>
  <c r="O136" i="18"/>
  <c r="N136" i="18"/>
  <c r="M136" i="18"/>
  <c r="L136" i="18"/>
  <c r="J136" i="18"/>
  <c r="I136" i="18"/>
  <c r="H136" i="18"/>
  <c r="G136" i="18"/>
  <c r="P135" i="18"/>
  <c r="O135" i="18"/>
  <c r="N135" i="18"/>
  <c r="M135" i="18"/>
  <c r="L135" i="18"/>
  <c r="K135" i="18"/>
  <c r="J135" i="18"/>
  <c r="I135" i="18"/>
  <c r="G135" i="18"/>
  <c r="P134" i="18"/>
  <c r="O134" i="18"/>
  <c r="N134" i="18"/>
  <c r="M134" i="18"/>
  <c r="L134" i="18"/>
  <c r="K134" i="18"/>
  <c r="J134" i="18"/>
  <c r="I134" i="18"/>
  <c r="G134" i="18"/>
  <c r="P133" i="18"/>
  <c r="O133" i="18"/>
  <c r="N133" i="18"/>
  <c r="M133" i="18"/>
  <c r="L133" i="18"/>
  <c r="K133" i="18"/>
  <c r="J133" i="18"/>
  <c r="I133" i="18"/>
  <c r="G133" i="18"/>
  <c r="P132" i="18"/>
  <c r="O132" i="18"/>
  <c r="N132" i="18"/>
  <c r="M132" i="18"/>
  <c r="L132" i="18"/>
  <c r="K132" i="18"/>
  <c r="J132" i="18"/>
  <c r="I132" i="18"/>
  <c r="G132" i="18"/>
  <c r="P131" i="18"/>
  <c r="O131" i="18"/>
  <c r="N131" i="18"/>
  <c r="M131" i="18"/>
  <c r="L131" i="18"/>
  <c r="K131" i="18"/>
  <c r="J131" i="18"/>
  <c r="I131" i="18"/>
  <c r="G131" i="18"/>
  <c r="P130" i="18"/>
  <c r="O130" i="18"/>
  <c r="M130" i="18"/>
  <c r="L130" i="18"/>
  <c r="K130" i="18"/>
  <c r="J130" i="18"/>
  <c r="I130" i="18"/>
  <c r="H130" i="18"/>
  <c r="G130" i="18"/>
  <c r="P129" i="18"/>
  <c r="O129" i="18"/>
  <c r="N129" i="18"/>
  <c r="M129" i="18"/>
  <c r="L129" i="18"/>
  <c r="J129" i="18"/>
  <c r="I129" i="18"/>
  <c r="H129" i="18"/>
  <c r="G129" i="18"/>
  <c r="P128" i="18"/>
  <c r="O128" i="18"/>
  <c r="N128" i="18"/>
  <c r="M128" i="18"/>
  <c r="L128" i="18"/>
  <c r="K128" i="18"/>
  <c r="J128" i="18"/>
  <c r="I128" i="18"/>
  <c r="G128" i="18"/>
  <c r="P127" i="18"/>
  <c r="O127" i="18"/>
  <c r="N127" i="18"/>
  <c r="M127" i="18"/>
  <c r="L127" i="18"/>
  <c r="K127" i="18"/>
  <c r="J127" i="18"/>
  <c r="I127" i="18"/>
  <c r="G127" i="18"/>
  <c r="P126" i="18"/>
  <c r="O126" i="18"/>
  <c r="N126" i="18"/>
  <c r="M126" i="18"/>
  <c r="L126" i="18"/>
  <c r="K126" i="18"/>
  <c r="J126" i="18"/>
  <c r="I126" i="18"/>
  <c r="G126" i="18"/>
  <c r="P125" i="18"/>
  <c r="O125" i="18"/>
  <c r="N125" i="18"/>
  <c r="M125" i="18"/>
  <c r="L125" i="18"/>
  <c r="K125" i="18"/>
  <c r="J125" i="18"/>
  <c r="I125" i="18"/>
  <c r="G125" i="18"/>
  <c r="P124" i="18"/>
  <c r="O124" i="18"/>
  <c r="N124" i="18"/>
  <c r="M124" i="18"/>
  <c r="L124" i="18"/>
  <c r="K124" i="18"/>
  <c r="J124" i="18"/>
  <c r="I124" i="18"/>
  <c r="G124" i="18"/>
  <c r="P123" i="18"/>
  <c r="O123" i="18"/>
  <c r="M123" i="18"/>
  <c r="L123" i="18"/>
  <c r="K123" i="18"/>
  <c r="J123" i="18"/>
  <c r="I123" i="18"/>
  <c r="H123" i="18"/>
  <c r="G123" i="18"/>
  <c r="P122" i="18"/>
  <c r="N122" i="18"/>
  <c r="M122" i="18"/>
  <c r="L122" i="18"/>
  <c r="K122" i="18"/>
  <c r="J122" i="18"/>
  <c r="I122" i="18"/>
  <c r="H122" i="18"/>
  <c r="G122" i="18"/>
  <c r="P121" i="18"/>
  <c r="O121" i="18"/>
  <c r="N121" i="18"/>
  <c r="M121" i="18"/>
  <c r="L121" i="18"/>
  <c r="J121" i="18"/>
  <c r="I121" i="18"/>
  <c r="H121" i="18"/>
  <c r="G121" i="18"/>
  <c r="P120" i="18"/>
  <c r="O120" i="18"/>
  <c r="N120" i="18"/>
  <c r="M120" i="18"/>
  <c r="L120" i="18"/>
  <c r="K120" i="18"/>
  <c r="J120" i="18"/>
  <c r="I120" i="18"/>
  <c r="G120" i="18"/>
  <c r="P119" i="18"/>
  <c r="O119" i="18"/>
  <c r="N119" i="18"/>
  <c r="M119" i="18"/>
  <c r="L119" i="18"/>
  <c r="K119" i="18"/>
  <c r="J119" i="18"/>
  <c r="I119" i="18"/>
  <c r="G119" i="18"/>
  <c r="P118" i="18"/>
  <c r="O118" i="18"/>
  <c r="N118" i="18"/>
  <c r="M118" i="18"/>
  <c r="L118" i="18"/>
  <c r="K118" i="18"/>
  <c r="J118" i="18"/>
  <c r="I118" i="18"/>
  <c r="G118" i="18"/>
  <c r="P117" i="18"/>
  <c r="O117" i="18"/>
  <c r="N117" i="18"/>
  <c r="M117" i="18"/>
  <c r="L117" i="18"/>
  <c r="K117" i="18"/>
  <c r="J117" i="18"/>
  <c r="I117" i="18"/>
  <c r="G117" i="18"/>
  <c r="P116" i="18"/>
  <c r="O116" i="18"/>
  <c r="N116" i="18"/>
  <c r="M116" i="18"/>
  <c r="L116" i="18"/>
  <c r="K116" i="18"/>
  <c r="J116" i="18"/>
  <c r="I116" i="18"/>
  <c r="G116" i="18"/>
  <c r="P115" i="18"/>
  <c r="O115" i="18"/>
  <c r="M115" i="18"/>
  <c r="L115" i="18"/>
  <c r="K115" i="18"/>
  <c r="J115" i="18"/>
  <c r="I115" i="18"/>
  <c r="H115" i="18"/>
  <c r="G115" i="18"/>
  <c r="P114" i="18"/>
  <c r="O114" i="18"/>
  <c r="N114" i="18"/>
  <c r="M114" i="18"/>
  <c r="L114" i="18"/>
  <c r="J114" i="18"/>
  <c r="I114" i="18"/>
  <c r="H114" i="18"/>
  <c r="G114" i="18"/>
  <c r="P113" i="18"/>
  <c r="O113" i="18"/>
  <c r="N113" i="18"/>
  <c r="M113" i="18"/>
  <c r="L113" i="18"/>
  <c r="K113" i="18"/>
  <c r="J113" i="18"/>
  <c r="I113" i="18"/>
  <c r="G113" i="18"/>
  <c r="P112" i="18"/>
  <c r="O112" i="18"/>
  <c r="N112" i="18"/>
  <c r="M112" i="18"/>
  <c r="L112" i="18"/>
  <c r="K112" i="18"/>
  <c r="J112" i="18"/>
  <c r="I112" i="18"/>
  <c r="G112" i="18"/>
  <c r="P111" i="18"/>
  <c r="O111" i="18"/>
  <c r="N111" i="18"/>
  <c r="M111" i="18"/>
  <c r="L111" i="18"/>
  <c r="K111" i="18"/>
  <c r="J111" i="18"/>
  <c r="I111" i="18"/>
  <c r="G111" i="18"/>
  <c r="P110" i="18"/>
  <c r="O110" i="18"/>
  <c r="N110" i="18"/>
  <c r="M110" i="18"/>
  <c r="L110" i="18"/>
  <c r="K110" i="18"/>
  <c r="J110" i="18"/>
  <c r="I110" i="18"/>
  <c r="G110" i="18"/>
  <c r="P109" i="18"/>
  <c r="O109" i="18"/>
  <c r="N109" i="18"/>
  <c r="M109" i="18"/>
  <c r="L109" i="18"/>
  <c r="K109" i="18"/>
  <c r="J109" i="18"/>
  <c r="I109" i="18"/>
  <c r="G109" i="18"/>
  <c r="P108" i="18"/>
  <c r="O108" i="18"/>
  <c r="M108" i="18"/>
  <c r="L108" i="18"/>
  <c r="K108" i="18"/>
  <c r="J108" i="18"/>
  <c r="I108" i="18"/>
  <c r="H108" i="18"/>
  <c r="G108" i="18"/>
  <c r="P107" i="18"/>
  <c r="N107" i="18"/>
  <c r="M107" i="18"/>
  <c r="L107" i="18"/>
  <c r="K107" i="18"/>
  <c r="J107" i="18"/>
  <c r="I107" i="18"/>
  <c r="H107" i="18"/>
  <c r="G107" i="18"/>
  <c r="P106" i="18"/>
  <c r="O106" i="18"/>
  <c r="N106" i="18"/>
  <c r="L106" i="18"/>
  <c r="K106" i="18"/>
  <c r="J106" i="18"/>
  <c r="I106" i="18"/>
  <c r="H106" i="18"/>
  <c r="G106" i="18"/>
  <c r="P105" i="18"/>
  <c r="O105" i="18"/>
  <c r="N105" i="18"/>
  <c r="M105" i="18"/>
  <c r="L105" i="18"/>
  <c r="J105" i="18"/>
  <c r="I105" i="18"/>
  <c r="H105" i="18"/>
  <c r="G105" i="18"/>
  <c r="P104" i="18"/>
  <c r="O104" i="18"/>
  <c r="N104" i="18"/>
  <c r="M104" i="18"/>
  <c r="L104" i="18"/>
  <c r="K104" i="18"/>
  <c r="J104" i="18"/>
  <c r="I104" i="18"/>
  <c r="G104" i="18"/>
  <c r="P103" i="18"/>
  <c r="O103" i="18"/>
  <c r="N103" i="18"/>
  <c r="M103" i="18"/>
  <c r="L103" i="18"/>
  <c r="K103" i="18"/>
  <c r="J103" i="18"/>
  <c r="I103" i="18"/>
  <c r="G103" i="18"/>
  <c r="P102" i="18"/>
  <c r="O102" i="18"/>
  <c r="N102" i="18"/>
  <c r="M102" i="18"/>
  <c r="L102" i="18"/>
  <c r="K102" i="18"/>
  <c r="J102" i="18"/>
  <c r="I102" i="18"/>
  <c r="G102" i="18"/>
  <c r="P101" i="18"/>
  <c r="O101" i="18"/>
  <c r="N101" i="18"/>
  <c r="M101" i="18"/>
  <c r="L101" i="18"/>
  <c r="K101" i="18"/>
  <c r="J101" i="18"/>
  <c r="I101" i="18"/>
  <c r="G101" i="18"/>
  <c r="P100" i="18"/>
  <c r="O100" i="18"/>
  <c r="N100" i="18"/>
  <c r="M100" i="18"/>
  <c r="L100" i="18"/>
  <c r="K100" i="18"/>
  <c r="J100" i="18"/>
  <c r="I100" i="18"/>
  <c r="G100" i="18"/>
  <c r="P99" i="18"/>
  <c r="O99" i="18"/>
  <c r="M99" i="18"/>
  <c r="L99" i="18"/>
  <c r="K99" i="18"/>
  <c r="J99" i="18"/>
  <c r="I99" i="18"/>
  <c r="H99" i="18"/>
  <c r="G99" i="18"/>
  <c r="P98" i="18"/>
  <c r="O98" i="18"/>
  <c r="N98" i="18"/>
  <c r="M98" i="18"/>
  <c r="L98" i="18"/>
  <c r="J98" i="18"/>
  <c r="I98" i="18"/>
  <c r="H98" i="18"/>
  <c r="G98" i="18"/>
  <c r="P97" i="18"/>
  <c r="O97" i="18"/>
  <c r="N97" i="18"/>
  <c r="M97" i="18"/>
  <c r="L97" i="18"/>
  <c r="K97" i="18"/>
  <c r="J97" i="18"/>
  <c r="I97" i="18"/>
  <c r="G97" i="18"/>
  <c r="P96" i="18"/>
  <c r="O96" i="18"/>
  <c r="N96" i="18"/>
  <c r="M96" i="18"/>
  <c r="L96" i="18"/>
  <c r="K96" i="18"/>
  <c r="J96" i="18"/>
  <c r="I96" i="18"/>
  <c r="G96" i="18"/>
  <c r="P95" i="18"/>
  <c r="O95" i="18"/>
  <c r="N95" i="18"/>
  <c r="M95" i="18"/>
  <c r="L95" i="18"/>
  <c r="K95" i="18"/>
  <c r="J95" i="18"/>
  <c r="I95" i="18"/>
  <c r="G95" i="18"/>
  <c r="P94" i="18"/>
  <c r="O94" i="18"/>
  <c r="N94" i="18"/>
  <c r="M94" i="18"/>
  <c r="L94" i="18"/>
  <c r="K94" i="18"/>
  <c r="J94" i="18"/>
  <c r="I94" i="18"/>
  <c r="G94" i="18"/>
  <c r="P93" i="18"/>
  <c r="O93" i="18"/>
  <c r="N93" i="18"/>
  <c r="M93" i="18"/>
  <c r="L93" i="18"/>
  <c r="K93" i="18"/>
  <c r="J93" i="18"/>
  <c r="I93" i="18"/>
  <c r="G93" i="18"/>
  <c r="P92" i="18"/>
  <c r="O92" i="18"/>
  <c r="M92" i="18"/>
  <c r="L92" i="18"/>
  <c r="K92" i="18"/>
  <c r="J92" i="18"/>
  <c r="I92" i="18"/>
  <c r="H92" i="18"/>
  <c r="G92" i="18"/>
  <c r="P91" i="18"/>
  <c r="O91" i="18"/>
  <c r="N91" i="18"/>
  <c r="M91" i="18"/>
  <c r="L91" i="18"/>
  <c r="J91" i="18"/>
  <c r="I91" i="18"/>
  <c r="H91" i="18"/>
  <c r="G91" i="18"/>
  <c r="P90" i="18"/>
  <c r="O90" i="18"/>
  <c r="N90" i="18"/>
  <c r="M90" i="18"/>
  <c r="L90" i="18"/>
  <c r="K90" i="18"/>
  <c r="J90" i="18"/>
  <c r="I90" i="18"/>
  <c r="G90" i="18"/>
  <c r="P89" i="18"/>
  <c r="O89" i="18"/>
  <c r="N89" i="18"/>
  <c r="M89" i="18"/>
  <c r="L89" i="18"/>
  <c r="K89" i="18"/>
  <c r="J89" i="18"/>
  <c r="I89" i="18"/>
  <c r="G89" i="18"/>
  <c r="P88" i="18"/>
  <c r="O88" i="18"/>
  <c r="N88" i="18"/>
  <c r="M88" i="18"/>
  <c r="L88" i="18"/>
  <c r="K88" i="18"/>
  <c r="J88" i="18"/>
  <c r="I88" i="18"/>
  <c r="G88" i="18"/>
  <c r="P87" i="18"/>
  <c r="O87" i="18"/>
  <c r="N87" i="18"/>
  <c r="M87" i="18"/>
  <c r="L87" i="18"/>
  <c r="K87" i="18"/>
  <c r="J87" i="18"/>
  <c r="I87" i="18"/>
  <c r="G87" i="18"/>
  <c r="P86" i="18"/>
  <c r="O86" i="18"/>
  <c r="N86" i="18"/>
  <c r="M86" i="18"/>
  <c r="L86" i="18"/>
  <c r="K86" i="18"/>
  <c r="J86" i="18"/>
  <c r="I86" i="18"/>
  <c r="G86" i="18"/>
  <c r="P85" i="18"/>
  <c r="O85" i="18"/>
  <c r="M85" i="18"/>
  <c r="L85" i="18"/>
  <c r="K85" i="18"/>
  <c r="J85" i="18"/>
  <c r="I85" i="18"/>
  <c r="H85" i="18"/>
  <c r="G85" i="18"/>
  <c r="P84" i="18"/>
  <c r="O84" i="18"/>
  <c r="N84" i="18"/>
  <c r="M84" i="18"/>
  <c r="L84" i="18"/>
  <c r="J84" i="18"/>
  <c r="I84" i="18"/>
  <c r="H84" i="18"/>
  <c r="G84" i="18"/>
  <c r="P83" i="18"/>
  <c r="O83" i="18"/>
  <c r="N83" i="18"/>
  <c r="M83" i="18"/>
  <c r="L83" i="18"/>
  <c r="K83" i="18"/>
  <c r="J83" i="18"/>
  <c r="I83" i="18"/>
  <c r="G83" i="18"/>
  <c r="P82" i="18"/>
  <c r="O82" i="18"/>
  <c r="N82" i="18"/>
  <c r="M82" i="18"/>
  <c r="L82" i="18"/>
  <c r="K82" i="18"/>
  <c r="J82" i="18"/>
  <c r="I82" i="18"/>
  <c r="G82" i="18"/>
  <c r="P81" i="18"/>
  <c r="O81" i="18"/>
  <c r="N81" i="18"/>
  <c r="M81" i="18"/>
  <c r="L81" i="18"/>
  <c r="K81" i="18"/>
  <c r="J81" i="18"/>
  <c r="I81" i="18"/>
  <c r="G81" i="18"/>
  <c r="P80" i="18"/>
  <c r="O80" i="18"/>
  <c r="N80" i="18"/>
  <c r="M80" i="18"/>
  <c r="L80" i="18"/>
  <c r="K80" i="18"/>
  <c r="J80" i="18"/>
  <c r="I80" i="18"/>
  <c r="G80" i="18"/>
  <c r="P79" i="18"/>
  <c r="O79" i="18"/>
  <c r="N79" i="18"/>
  <c r="M79" i="18"/>
  <c r="L79" i="18"/>
  <c r="K79" i="18"/>
  <c r="J79" i="18"/>
  <c r="I79" i="18"/>
  <c r="G79" i="18"/>
  <c r="P78" i="18"/>
  <c r="O78" i="18"/>
  <c r="M78" i="18"/>
  <c r="L78" i="18"/>
  <c r="K78" i="18"/>
  <c r="J78" i="18"/>
  <c r="I78" i="18"/>
  <c r="H78" i="18"/>
  <c r="G78" i="18"/>
  <c r="P77" i="18"/>
  <c r="O77" i="18"/>
  <c r="N77" i="18"/>
  <c r="M77" i="18"/>
  <c r="L77" i="18"/>
  <c r="J77" i="18"/>
  <c r="I77" i="18"/>
  <c r="H77" i="18"/>
  <c r="G77" i="18"/>
  <c r="P76" i="18"/>
  <c r="O76" i="18"/>
  <c r="N76" i="18"/>
  <c r="M76" i="18"/>
  <c r="L76" i="18"/>
  <c r="K76" i="18"/>
  <c r="J76" i="18"/>
  <c r="I76" i="18"/>
  <c r="G76" i="18"/>
  <c r="P75" i="18"/>
  <c r="O75" i="18"/>
  <c r="N75" i="18"/>
  <c r="M75" i="18"/>
  <c r="L75" i="18"/>
  <c r="K75" i="18"/>
  <c r="J75" i="18"/>
  <c r="I75" i="18"/>
  <c r="H75" i="18"/>
  <c r="G75" i="18"/>
  <c r="P74" i="18"/>
  <c r="O74" i="18"/>
  <c r="N74" i="18"/>
  <c r="M74" i="18"/>
  <c r="L74" i="18"/>
  <c r="K74" i="18"/>
  <c r="J74" i="18"/>
  <c r="I74" i="18"/>
  <c r="G74" i="18"/>
  <c r="P73" i="18"/>
  <c r="O73" i="18"/>
  <c r="N73" i="18"/>
  <c r="M73" i="18"/>
  <c r="L73" i="18"/>
  <c r="K73" i="18"/>
  <c r="J73" i="18"/>
  <c r="I73" i="18"/>
  <c r="G73" i="18"/>
  <c r="P72" i="18"/>
  <c r="O72" i="18"/>
  <c r="N72" i="18"/>
  <c r="M72" i="18"/>
  <c r="L72" i="18"/>
  <c r="K72" i="18"/>
  <c r="J72" i="18"/>
  <c r="I72" i="18"/>
  <c r="G72" i="18"/>
  <c r="P71" i="18"/>
  <c r="O71" i="18"/>
  <c r="M71" i="18"/>
  <c r="L71" i="18"/>
  <c r="K71" i="18"/>
  <c r="J71" i="18"/>
  <c r="I71" i="18"/>
  <c r="H71" i="18"/>
  <c r="G71" i="18"/>
  <c r="P70" i="18"/>
  <c r="O70" i="18"/>
  <c r="N70" i="18"/>
  <c r="M70" i="18"/>
  <c r="L70" i="18"/>
  <c r="J70" i="18"/>
  <c r="I70" i="18"/>
  <c r="H70" i="18"/>
  <c r="G70" i="18"/>
  <c r="P69" i="18"/>
  <c r="O69" i="18"/>
  <c r="N69" i="18"/>
  <c r="M69" i="18"/>
  <c r="L69" i="18"/>
  <c r="K69" i="18"/>
  <c r="J69" i="18"/>
  <c r="I69" i="18"/>
  <c r="G69" i="18"/>
  <c r="P68" i="18"/>
  <c r="O68" i="18"/>
  <c r="N68" i="18"/>
  <c r="M68" i="18"/>
  <c r="L68" i="18"/>
  <c r="K68" i="18"/>
  <c r="J68" i="18"/>
  <c r="I68" i="18"/>
  <c r="G68" i="18"/>
  <c r="P67" i="18"/>
  <c r="O67" i="18"/>
  <c r="N67" i="18"/>
  <c r="M67" i="18"/>
  <c r="L67" i="18"/>
  <c r="K67" i="18"/>
  <c r="J67" i="18"/>
  <c r="I67" i="18"/>
  <c r="G67" i="18"/>
  <c r="P66" i="18"/>
  <c r="O66" i="18"/>
  <c r="N66" i="18"/>
  <c r="M66" i="18"/>
  <c r="L66" i="18"/>
  <c r="K66" i="18"/>
  <c r="J66" i="18"/>
  <c r="I66" i="18"/>
  <c r="G66" i="18"/>
  <c r="P65" i="18"/>
  <c r="O65" i="18"/>
  <c r="N65" i="18"/>
  <c r="M65" i="18"/>
  <c r="L65" i="18"/>
  <c r="K65" i="18"/>
  <c r="J65" i="18"/>
  <c r="I65" i="18"/>
  <c r="G65" i="18"/>
  <c r="Q66" i="18" s="1"/>
  <c r="H66" i="18" s="1"/>
  <c r="P64" i="18"/>
  <c r="O64" i="18"/>
  <c r="M64" i="18"/>
  <c r="L64" i="18"/>
  <c r="K64" i="18"/>
  <c r="J64" i="18"/>
  <c r="I64" i="18"/>
  <c r="H64" i="18"/>
  <c r="G64" i="18"/>
  <c r="P63" i="18"/>
  <c r="N63" i="18"/>
  <c r="M63" i="18"/>
  <c r="L63" i="18"/>
  <c r="K63" i="18"/>
  <c r="J63" i="18"/>
  <c r="I63" i="18"/>
  <c r="H63" i="18"/>
  <c r="G63" i="18"/>
  <c r="P62" i="18"/>
  <c r="O62" i="18"/>
  <c r="N62" i="18"/>
  <c r="M62" i="18"/>
  <c r="L62" i="18"/>
  <c r="J62" i="18"/>
  <c r="I62" i="18"/>
  <c r="H62" i="18"/>
  <c r="G62" i="18"/>
  <c r="P61" i="18"/>
  <c r="N61" i="18"/>
  <c r="M61" i="18"/>
  <c r="L61" i="18"/>
  <c r="K61" i="18"/>
  <c r="J61" i="18"/>
  <c r="I61" i="18"/>
  <c r="H61" i="18"/>
  <c r="G61" i="18"/>
  <c r="P60" i="18"/>
  <c r="O60" i="18"/>
  <c r="N60" i="18"/>
  <c r="M60" i="18"/>
  <c r="L60" i="18"/>
  <c r="K60" i="18"/>
  <c r="J60" i="18"/>
  <c r="I60" i="18"/>
  <c r="G60" i="18"/>
  <c r="P59" i="18"/>
  <c r="O59" i="18"/>
  <c r="N59" i="18"/>
  <c r="M59" i="18"/>
  <c r="L59" i="18"/>
  <c r="K59" i="18"/>
  <c r="J59" i="18"/>
  <c r="I59" i="18"/>
  <c r="G59" i="18"/>
  <c r="P58" i="18"/>
  <c r="O58" i="18"/>
  <c r="N58" i="18"/>
  <c r="M58" i="18"/>
  <c r="L58" i="18"/>
  <c r="K58" i="18"/>
  <c r="J58" i="18"/>
  <c r="I58" i="18"/>
  <c r="G58" i="18"/>
  <c r="P57" i="18"/>
  <c r="O57" i="18"/>
  <c r="N57" i="18"/>
  <c r="M57" i="18"/>
  <c r="L57" i="18"/>
  <c r="K57" i="18"/>
  <c r="J57" i="18"/>
  <c r="I57" i="18"/>
  <c r="G57" i="18"/>
  <c r="P56" i="18"/>
  <c r="O56" i="18"/>
  <c r="N56" i="18"/>
  <c r="M56" i="18"/>
  <c r="L56" i="18"/>
  <c r="K56" i="18"/>
  <c r="J56" i="18"/>
  <c r="I56" i="18"/>
  <c r="G56" i="18"/>
  <c r="P55" i="18"/>
  <c r="O55" i="18"/>
  <c r="M55" i="18"/>
  <c r="L55" i="18"/>
  <c r="K55" i="18"/>
  <c r="J55" i="18"/>
  <c r="I55" i="18"/>
  <c r="H55" i="18"/>
  <c r="G55" i="18"/>
  <c r="P54" i="18"/>
  <c r="N54" i="18"/>
  <c r="M54" i="18"/>
  <c r="L54" i="18"/>
  <c r="K54" i="18"/>
  <c r="J54" i="18"/>
  <c r="I54" i="18"/>
  <c r="H54" i="18"/>
  <c r="G54" i="18"/>
  <c r="AB53" i="18"/>
  <c r="P53" i="18"/>
  <c r="N53" i="18"/>
  <c r="M53" i="18"/>
  <c r="L53" i="18"/>
  <c r="J53" i="18"/>
  <c r="I53" i="18"/>
  <c r="H53" i="18"/>
  <c r="G53" i="18"/>
  <c r="P52" i="18"/>
  <c r="O52" i="18"/>
  <c r="N52" i="18"/>
  <c r="M52" i="18"/>
  <c r="L52" i="18"/>
  <c r="K52" i="18"/>
  <c r="J52" i="18"/>
  <c r="I52" i="18"/>
  <c r="G52" i="18"/>
  <c r="AB51" i="18"/>
  <c r="P51" i="18"/>
  <c r="O51" i="18"/>
  <c r="N51" i="18"/>
  <c r="M51" i="18"/>
  <c r="L51" i="18"/>
  <c r="K51" i="18"/>
  <c r="J51" i="18"/>
  <c r="I51" i="18"/>
  <c r="G51" i="18"/>
  <c r="P50" i="18"/>
  <c r="O50" i="18"/>
  <c r="N50" i="18"/>
  <c r="M50" i="18"/>
  <c r="L50" i="18"/>
  <c r="K50" i="18"/>
  <c r="J50" i="18"/>
  <c r="I50" i="18"/>
  <c r="G50" i="18"/>
  <c r="P49" i="18"/>
  <c r="O49" i="18"/>
  <c r="N49" i="18"/>
  <c r="M49" i="18"/>
  <c r="L49" i="18"/>
  <c r="K49" i="18"/>
  <c r="J49" i="18"/>
  <c r="I49" i="18"/>
  <c r="G49" i="18"/>
  <c r="P48" i="18"/>
  <c r="O48" i="18"/>
  <c r="N48" i="18"/>
  <c r="M48" i="18"/>
  <c r="L48" i="18"/>
  <c r="K48" i="18"/>
  <c r="J48" i="18"/>
  <c r="I48" i="18"/>
  <c r="H48" i="18"/>
  <c r="G48" i="18"/>
  <c r="AB47" i="18"/>
  <c r="P47" i="18"/>
  <c r="O47" i="18"/>
  <c r="M47" i="18"/>
  <c r="L47" i="18"/>
  <c r="K47" i="18"/>
  <c r="J47" i="18"/>
  <c r="I47" i="18"/>
  <c r="H47" i="18"/>
  <c r="G47" i="18"/>
  <c r="P46" i="18"/>
  <c r="O46" i="18"/>
  <c r="N46" i="18"/>
  <c r="M46" i="18"/>
  <c r="L46" i="18"/>
  <c r="J46" i="18"/>
  <c r="I46" i="18"/>
  <c r="H46" i="18"/>
  <c r="G46" i="18"/>
  <c r="P45" i="18"/>
  <c r="O45" i="18"/>
  <c r="N45" i="18"/>
  <c r="M45" i="18"/>
  <c r="L45" i="18"/>
  <c r="K45" i="18"/>
  <c r="J45" i="18"/>
  <c r="I45" i="18"/>
  <c r="G45" i="18"/>
  <c r="AC44" i="18"/>
  <c r="AB46" i="18" s="1"/>
  <c r="P44" i="18"/>
  <c r="O44" i="18"/>
  <c r="N44" i="18"/>
  <c r="M44" i="18"/>
  <c r="L44" i="18"/>
  <c r="K44" i="18"/>
  <c r="J44" i="18"/>
  <c r="I44" i="18"/>
  <c r="G44" i="18"/>
  <c r="P43" i="18"/>
  <c r="O43" i="18"/>
  <c r="N43" i="18"/>
  <c r="M43" i="18"/>
  <c r="L43" i="18"/>
  <c r="K43" i="18"/>
  <c r="J43" i="18"/>
  <c r="I43" i="18"/>
  <c r="G43" i="18"/>
  <c r="P42" i="18"/>
  <c r="O42" i="18"/>
  <c r="N42" i="18"/>
  <c r="M42" i="18"/>
  <c r="L42" i="18"/>
  <c r="K42" i="18"/>
  <c r="J42" i="18"/>
  <c r="I42" i="18"/>
  <c r="G42" i="18"/>
  <c r="P41" i="18"/>
  <c r="O41" i="18"/>
  <c r="N41" i="18"/>
  <c r="M41" i="18"/>
  <c r="L41" i="18"/>
  <c r="K41" i="18"/>
  <c r="J41" i="18"/>
  <c r="I41" i="18"/>
  <c r="G41" i="18"/>
  <c r="P40" i="18"/>
  <c r="O40" i="18"/>
  <c r="M40" i="18"/>
  <c r="L40" i="18"/>
  <c r="K40" i="18"/>
  <c r="J40" i="18"/>
  <c r="I40" i="18"/>
  <c r="H40" i="18"/>
  <c r="G40" i="18"/>
  <c r="AC39" i="18"/>
  <c r="AB39" i="18"/>
  <c r="AB41" i="18" s="1"/>
  <c r="P39" i="18"/>
  <c r="O39" i="18"/>
  <c r="N39" i="18"/>
  <c r="M39" i="18"/>
  <c r="L39" i="18"/>
  <c r="J39" i="18"/>
  <c r="I39" i="18"/>
  <c r="H39" i="18"/>
  <c r="G39" i="18"/>
  <c r="P38" i="18"/>
  <c r="O38" i="18"/>
  <c r="N38" i="18"/>
  <c r="M38" i="18"/>
  <c r="L38" i="18"/>
  <c r="K38" i="18"/>
  <c r="J38" i="18"/>
  <c r="I38" i="18"/>
  <c r="G38" i="18"/>
  <c r="P37" i="18"/>
  <c r="O37" i="18"/>
  <c r="N37" i="18"/>
  <c r="M37" i="18"/>
  <c r="L37" i="18"/>
  <c r="K37" i="18"/>
  <c r="J37" i="18"/>
  <c r="I37" i="18"/>
  <c r="G37" i="18"/>
  <c r="P36" i="18"/>
  <c r="O36" i="18"/>
  <c r="N36" i="18"/>
  <c r="M36" i="18"/>
  <c r="L36" i="18"/>
  <c r="K36" i="18"/>
  <c r="J36" i="18"/>
  <c r="I36" i="18"/>
  <c r="G36" i="18"/>
  <c r="P35" i="18"/>
  <c r="O35" i="18"/>
  <c r="N35" i="18"/>
  <c r="M35" i="18"/>
  <c r="L35" i="18"/>
  <c r="K35" i="18"/>
  <c r="J35" i="18"/>
  <c r="I35" i="18"/>
  <c r="G35" i="18"/>
  <c r="P34" i="18"/>
  <c r="O34" i="18"/>
  <c r="N34" i="18"/>
  <c r="M34" i="18"/>
  <c r="L34" i="18"/>
  <c r="K34" i="18"/>
  <c r="J34" i="18"/>
  <c r="I34" i="18"/>
  <c r="G34" i="18"/>
  <c r="P33" i="18"/>
  <c r="O33" i="18"/>
  <c r="M33" i="18"/>
  <c r="L33" i="18"/>
  <c r="K33" i="18"/>
  <c r="J33" i="18"/>
  <c r="I33" i="18"/>
  <c r="H33" i="18"/>
  <c r="G33" i="18"/>
  <c r="P32" i="18"/>
  <c r="O32" i="18"/>
  <c r="N32" i="18"/>
  <c r="M32" i="18"/>
  <c r="L32" i="18"/>
  <c r="J32" i="18"/>
  <c r="I32" i="18"/>
  <c r="H32" i="18"/>
  <c r="G32" i="18"/>
  <c r="P31" i="18"/>
  <c r="O31" i="18"/>
  <c r="N31" i="18"/>
  <c r="M31" i="18"/>
  <c r="L31" i="18"/>
  <c r="K31" i="18"/>
  <c r="J31" i="18"/>
  <c r="I31" i="18"/>
  <c r="G31" i="18"/>
  <c r="P30" i="18"/>
  <c r="O30" i="18"/>
  <c r="N30" i="18"/>
  <c r="M30" i="18"/>
  <c r="L30" i="18"/>
  <c r="K30" i="18"/>
  <c r="J30" i="18"/>
  <c r="I30" i="18"/>
  <c r="G30" i="18"/>
  <c r="P29" i="18"/>
  <c r="O29" i="18"/>
  <c r="N29" i="18"/>
  <c r="M29" i="18"/>
  <c r="L29" i="18"/>
  <c r="K29" i="18"/>
  <c r="J29" i="18"/>
  <c r="I29" i="18"/>
  <c r="G29" i="18"/>
  <c r="P28" i="18"/>
  <c r="O28" i="18"/>
  <c r="N28" i="18"/>
  <c r="M28" i="18"/>
  <c r="L28" i="18"/>
  <c r="K28" i="18"/>
  <c r="J28" i="18"/>
  <c r="I28" i="18"/>
  <c r="G28" i="18"/>
  <c r="P27" i="18"/>
  <c r="O27" i="18"/>
  <c r="N27" i="18"/>
  <c r="M27" i="18"/>
  <c r="L27" i="18"/>
  <c r="K27" i="18"/>
  <c r="J27" i="18"/>
  <c r="I27" i="18"/>
  <c r="G27" i="18"/>
  <c r="AD26" i="18"/>
  <c r="P26" i="18"/>
  <c r="O26" i="18"/>
  <c r="M26" i="18"/>
  <c r="L26" i="18"/>
  <c r="K26" i="18"/>
  <c r="J26" i="18"/>
  <c r="I26" i="18"/>
  <c r="H26" i="18"/>
  <c r="G26" i="18"/>
  <c r="P25" i="18"/>
  <c r="O25" i="18"/>
  <c r="N25" i="18"/>
  <c r="M25" i="18"/>
  <c r="L25" i="18"/>
  <c r="J25" i="18"/>
  <c r="I25" i="18"/>
  <c r="H25" i="18"/>
  <c r="G25" i="18"/>
  <c r="AD24" i="18"/>
  <c r="P24" i="18"/>
  <c r="N24" i="18"/>
  <c r="M24" i="18"/>
  <c r="L24" i="18"/>
  <c r="K24" i="18"/>
  <c r="J24" i="18"/>
  <c r="I24" i="18"/>
  <c r="H24" i="18"/>
  <c r="G24" i="18"/>
  <c r="P23" i="18"/>
  <c r="O23" i="18"/>
  <c r="N23" i="18"/>
  <c r="M23" i="18"/>
  <c r="L23" i="18"/>
  <c r="K23" i="18"/>
  <c r="J23" i="18"/>
  <c r="I23" i="18"/>
  <c r="G23" i="18"/>
  <c r="P22" i="18"/>
  <c r="O22" i="18"/>
  <c r="N22" i="18"/>
  <c r="M22" i="18"/>
  <c r="L22" i="18"/>
  <c r="K22" i="18"/>
  <c r="J22" i="18"/>
  <c r="I22" i="18"/>
  <c r="G22" i="18"/>
  <c r="P21" i="18"/>
  <c r="O21" i="18"/>
  <c r="N21" i="18"/>
  <c r="M21" i="18"/>
  <c r="L21" i="18"/>
  <c r="K21" i="18"/>
  <c r="J21" i="18"/>
  <c r="I21" i="18"/>
  <c r="G21" i="18"/>
  <c r="P20" i="18"/>
  <c r="O20" i="18"/>
  <c r="N20" i="18"/>
  <c r="M20" i="18"/>
  <c r="L20" i="18"/>
  <c r="K20" i="18"/>
  <c r="J20" i="18"/>
  <c r="I20" i="18"/>
  <c r="G20" i="18"/>
  <c r="P19" i="18"/>
  <c r="O19" i="18"/>
  <c r="N19" i="18"/>
  <c r="M19" i="18"/>
  <c r="L19" i="18"/>
  <c r="K19" i="18"/>
  <c r="J19" i="18"/>
  <c r="I19" i="18"/>
  <c r="G19" i="18"/>
  <c r="P18" i="18"/>
  <c r="O18" i="18"/>
  <c r="M18" i="18"/>
  <c r="L18" i="18"/>
  <c r="K18" i="18"/>
  <c r="J18" i="18"/>
  <c r="I18" i="18"/>
  <c r="H18" i="18"/>
  <c r="G18" i="18"/>
  <c r="P17" i="18"/>
  <c r="O17" i="18"/>
  <c r="N17" i="18"/>
  <c r="M17" i="18"/>
  <c r="L17" i="18"/>
  <c r="J17" i="18"/>
  <c r="I17" i="18"/>
  <c r="H17" i="18"/>
  <c r="G17" i="18"/>
  <c r="P16" i="18"/>
  <c r="O16" i="18"/>
  <c r="N16" i="18"/>
  <c r="L16" i="18"/>
  <c r="K16" i="18"/>
  <c r="J16" i="18"/>
  <c r="I16" i="18"/>
  <c r="H16" i="18"/>
  <c r="G16" i="18"/>
  <c r="G15" i="18"/>
  <c r="R9" i="18"/>
  <c r="R8" i="18"/>
  <c r="R7" i="18"/>
  <c r="R6" i="18"/>
  <c r="R5" i="18"/>
  <c r="R3" i="18"/>
  <c r="R2" i="18"/>
  <c r="R1" i="18"/>
  <c r="AB49" i="18" l="1"/>
  <c r="AC49" i="18" s="1"/>
  <c r="AB50" i="18"/>
  <c r="AC55" i="18" s="1"/>
  <c r="Q272" i="18"/>
  <c r="Q270" i="18"/>
  <c r="N270" i="18" s="1"/>
  <c r="Q271" i="18"/>
  <c r="H271" i="18" s="1"/>
  <c r="Q269" i="18"/>
  <c r="K269" i="18" s="1"/>
  <c r="Q268" i="18"/>
  <c r="H268" i="18" s="1"/>
  <c r="Q267" i="18"/>
  <c r="N267" i="18" s="1"/>
  <c r="Q266" i="18"/>
  <c r="K266" i="18" s="1"/>
  <c r="Q264" i="18"/>
  <c r="N264" i="18" s="1"/>
  <c r="Q262" i="18"/>
  <c r="H262" i="18" s="1"/>
  <c r="Q263" i="18"/>
  <c r="K263" i="18" s="1"/>
  <c r="Q260" i="18"/>
  <c r="J260" i="18" s="1"/>
  <c r="Q258" i="18"/>
  <c r="H258" i="18" s="1"/>
  <c r="Q256" i="18"/>
  <c r="K256" i="18" s="1"/>
  <c r="Q254" i="18"/>
  <c r="N254" i="18" s="1"/>
  <c r="Q255" i="18"/>
  <c r="H255" i="18" s="1"/>
  <c r="Q253" i="18"/>
  <c r="K253" i="18" s="1"/>
  <c r="Q252" i="18"/>
  <c r="H252" i="18" s="1"/>
  <c r="Q250" i="18"/>
  <c r="K250" i="18" s="1"/>
  <c r="Q246" i="18"/>
  <c r="K246" i="18" s="1"/>
  <c r="Q247" i="18"/>
  <c r="N247" i="18" s="1"/>
  <c r="Q245" i="18"/>
  <c r="H245" i="18" s="1"/>
  <c r="Q243" i="18"/>
  <c r="K243" i="18" s="1"/>
  <c r="Q242" i="18"/>
  <c r="H242" i="18" s="1"/>
  <c r="Q240" i="18"/>
  <c r="O240" i="18" s="1"/>
  <c r="Q238" i="18"/>
  <c r="H238" i="18" s="1"/>
  <c r="Q239" i="18"/>
  <c r="K239" i="18" s="1"/>
  <c r="Q237" i="18"/>
  <c r="N237" i="18" s="1"/>
  <c r="Q235" i="18"/>
  <c r="H235" i="18" s="1"/>
  <c r="Q234" i="18"/>
  <c r="N234" i="18" s="1"/>
  <c r="Q232" i="18"/>
  <c r="H232" i="18" s="1"/>
  <c r="Q231" i="18"/>
  <c r="N231" i="18" s="1"/>
  <c r="Q230" i="18"/>
  <c r="K230" i="18" s="1"/>
  <c r="Q229" i="18"/>
  <c r="H229" i="18" s="1"/>
  <c r="Q226" i="18"/>
  <c r="H226" i="18" s="1"/>
  <c r="Q224" i="18"/>
  <c r="K224" i="18" s="1"/>
  <c r="Q223" i="18"/>
  <c r="H223" i="18" s="1"/>
  <c r="Q222" i="18"/>
  <c r="N222" i="18" s="1"/>
  <c r="Q221" i="18"/>
  <c r="O221" i="18" s="1"/>
  <c r="Q218" i="18"/>
  <c r="N218" i="18" s="1"/>
  <c r="Q216" i="18"/>
  <c r="H216" i="18" s="1"/>
  <c r="Q214" i="18"/>
  <c r="K214" i="18" s="1"/>
  <c r="Q215" i="18"/>
  <c r="N215" i="18" s="1"/>
  <c r="Q213" i="18"/>
  <c r="H213" i="18" s="1"/>
  <c r="Q210" i="18"/>
  <c r="H210" i="18" s="1"/>
  <c r="Q208" i="18"/>
  <c r="K208" i="18" s="1"/>
  <c r="Q206" i="18"/>
  <c r="N206" i="18" s="1"/>
  <c r="Q207" i="18"/>
  <c r="H207" i="18" s="1"/>
  <c r="Q205" i="18"/>
  <c r="K205" i="18" s="1"/>
  <c r="Q204" i="18"/>
  <c r="H204" i="18" s="1"/>
  <c r="Q203" i="18"/>
  <c r="N203" i="18" s="1"/>
  <c r="Q202" i="18"/>
  <c r="O202" i="18" s="1"/>
  <c r="Q200" i="18"/>
  <c r="H200" i="18" s="1"/>
  <c r="Q199" i="18"/>
  <c r="N199" i="18" s="1"/>
  <c r="Q198" i="18"/>
  <c r="K198" i="18" s="1"/>
  <c r="Q196" i="18"/>
  <c r="N196" i="18" s="1"/>
  <c r="Q197" i="18"/>
  <c r="H197" i="18" s="1"/>
  <c r="Q195" i="18"/>
  <c r="K195" i="18" s="1"/>
  <c r="Q193" i="18"/>
  <c r="N193" i="18" s="1"/>
  <c r="Q192" i="18"/>
  <c r="K192" i="18" s="1"/>
  <c r="Q190" i="18"/>
  <c r="N190" i="18" s="1"/>
  <c r="Q188" i="18"/>
  <c r="H188" i="18" s="1"/>
  <c r="Q189" i="18"/>
  <c r="K189" i="18" s="1"/>
  <c r="Q187" i="18"/>
  <c r="N187" i="18" s="1"/>
  <c r="Q185" i="18"/>
  <c r="H185" i="18" s="1"/>
  <c r="Q184" i="18"/>
  <c r="N184" i="18" s="1"/>
  <c r="Q182" i="18"/>
  <c r="J182" i="18" s="1"/>
  <c r="Q181" i="18"/>
  <c r="H181" i="18" s="1"/>
  <c r="Q180" i="18"/>
  <c r="N180" i="18" s="1"/>
  <c r="Q179" i="18"/>
  <c r="K179" i="18" s="1"/>
  <c r="Q176" i="18"/>
  <c r="K176" i="18" s="1"/>
  <c r="Q174" i="18"/>
  <c r="N174" i="18" s="1"/>
  <c r="Q172" i="18"/>
  <c r="H172" i="18" s="1"/>
  <c r="Q173" i="18"/>
  <c r="K173" i="18" s="1"/>
  <c r="Q171" i="18"/>
  <c r="N171" i="18" s="1"/>
  <c r="Q168" i="18"/>
  <c r="N168" i="18" s="1"/>
  <c r="Q166" i="18"/>
  <c r="H166" i="18" s="1"/>
  <c r="Q164" i="18"/>
  <c r="Q165" i="18"/>
  <c r="Q163" i="18"/>
  <c r="Q162" i="18"/>
  <c r="M162" i="18" s="1"/>
  <c r="Q160" i="18"/>
  <c r="H160" i="18" s="1"/>
  <c r="Q158" i="18"/>
  <c r="K158" i="18" s="1"/>
  <c r="Q156" i="18"/>
  <c r="H156" i="18" s="1"/>
  <c r="Q157" i="18"/>
  <c r="H157" i="18" s="1"/>
  <c r="Q155" i="18"/>
  <c r="H155" i="18" s="1"/>
  <c r="Q154" i="18"/>
  <c r="H154" i="18" s="1"/>
  <c r="Q153" i="18"/>
  <c r="H153" i="18" s="1"/>
  <c r="Q152" i="18"/>
  <c r="N152" i="18" s="1"/>
  <c r="Q150" i="18"/>
  <c r="H150" i="18" s="1"/>
  <c r="Q149" i="18"/>
  <c r="H149" i="18" s="1"/>
  <c r="Q148" i="18"/>
  <c r="H148" i="18" s="1"/>
  <c r="Q147" i="18"/>
  <c r="H147" i="18" s="1"/>
  <c r="Q144" i="18"/>
  <c r="N144" i="18" s="1"/>
  <c r="Q140" i="18"/>
  <c r="H140" i="18" s="1"/>
  <c r="Q141" i="18"/>
  <c r="H141" i="18" s="1"/>
  <c r="Q139" i="18"/>
  <c r="H139" i="18" s="1"/>
  <c r="Q138" i="18"/>
  <c r="Q136" i="18"/>
  <c r="K136" i="18" s="1"/>
  <c r="Q132" i="18"/>
  <c r="H132" i="18" s="1"/>
  <c r="Q133" i="18"/>
  <c r="H133" i="18" s="1"/>
  <c r="Q131" i="18"/>
  <c r="H131" i="18" s="1"/>
  <c r="Q128" i="18"/>
  <c r="H128" i="18" s="1"/>
  <c r="Q124" i="18"/>
  <c r="H124" i="18" s="1"/>
  <c r="Q125" i="18"/>
  <c r="H125" i="18" s="1"/>
  <c r="Q123" i="18"/>
  <c r="N123" i="18" s="1"/>
  <c r="Q122" i="18"/>
  <c r="O122" i="18" s="1"/>
  <c r="Q120" i="18"/>
  <c r="H120" i="18" s="1"/>
  <c r="Q116" i="18"/>
  <c r="H116" i="18" s="1"/>
  <c r="Q117" i="18"/>
  <c r="H117" i="18" s="1"/>
  <c r="Q115" i="18"/>
  <c r="N115" i="18" s="1"/>
  <c r="Q112" i="18"/>
  <c r="H112" i="18" s="1"/>
  <c r="Q108" i="18"/>
  <c r="N108" i="18" s="1"/>
  <c r="Q109" i="18"/>
  <c r="H109" i="18" s="1"/>
  <c r="Q107" i="18"/>
  <c r="O107" i="18" s="1"/>
  <c r="Q106" i="18"/>
  <c r="M106" i="18" s="1"/>
  <c r="Q104" i="18"/>
  <c r="H104" i="18" s="1"/>
  <c r="Q100" i="18"/>
  <c r="H100" i="18" s="1"/>
  <c r="Q101" i="18"/>
  <c r="H101" i="18" s="1"/>
  <c r="Q99" i="18"/>
  <c r="N99" i="18" s="1"/>
  <c r="Q95" i="18"/>
  <c r="H95" i="18" s="1"/>
  <c r="Q96" i="18"/>
  <c r="H96" i="18" s="1"/>
  <c r="Q92" i="18"/>
  <c r="N92" i="18" s="1"/>
  <c r="Q93" i="18"/>
  <c r="H93" i="18" s="1"/>
  <c r="Q91" i="18"/>
  <c r="K91" i="18" s="1"/>
  <c r="Q88" i="18"/>
  <c r="H88" i="18" s="1"/>
  <c r="Q89" i="18"/>
  <c r="H89" i="18" s="1"/>
  <c r="Q84" i="18"/>
  <c r="K84" i="18" s="1"/>
  <c r="Q85" i="18"/>
  <c r="N85" i="18" s="1"/>
  <c r="Q82" i="18"/>
  <c r="H82" i="18" s="1"/>
  <c r="Q80" i="18"/>
  <c r="H80" i="18" s="1"/>
  <c r="Q79" i="18"/>
  <c r="H79" i="18" s="1"/>
  <c r="Q77" i="18"/>
  <c r="K77" i="18" s="1"/>
  <c r="Q76" i="18"/>
  <c r="H76" i="18" s="1"/>
  <c r="Q74" i="18"/>
  <c r="H74" i="18" s="1"/>
  <c r="Q72" i="18"/>
  <c r="H72" i="18" s="1"/>
  <c r="Q71" i="18"/>
  <c r="N71" i="18" s="1"/>
  <c r="Q69" i="18"/>
  <c r="H69" i="18" s="1"/>
  <c r="Q68" i="18"/>
  <c r="H68" i="18" s="1"/>
  <c r="Q67" i="18"/>
  <c r="H67" i="18" s="1"/>
  <c r="Q64" i="18"/>
  <c r="N64" i="18" s="1"/>
  <c r="Q63" i="18"/>
  <c r="O63" i="18" s="1"/>
  <c r="Q62" i="18"/>
  <c r="K62" i="18" s="1"/>
  <c r="Q60" i="18"/>
  <c r="H60" i="18" s="1"/>
  <c r="Q61" i="18"/>
  <c r="O61" i="18" s="1"/>
  <c r="Q59" i="18"/>
  <c r="H59" i="18" s="1"/>
  <c r="Q56" i="18"/>
  <c r="H56" i="18" s="1"/>
  <c r="Q57" i="18"/>
  <c r="H57" i="18" s="1"/>
  <c r="Q55" i="18"/>
  <c r="N55" i="18" s="1"/>
  <c r="Q54" i="18"/>
  <c r="O54" i="18" s="1"/>
  <c r="Q52" i="18"/>
  <c r="H52" i="18" s="1"/>
  <c r="Q51" i="18"/>
  <c r="H51" i="18" s="1"/>
  <c r="Q50" i="18"/>
  <c r="H50" i="18" s="1"/>
  <c r="Q49" i="18"/>
  <c r="H49" i="18" s="1"/>
  <c r="Q47" i="18"/>
  <c r="N47" i="18" s="1"/>
  <c r="Q46" i="18"/>
  <c r="K46" i="18" s="1"/>
  <c r="Q45" i="18"/>
  <c r="H45" i="18" s="1"/>
  <c r="Q44" i="18"/>
  <c r="H44" i="18" s="1"/>
  <c r="Q42" i="18"/>
  <c r="H42" i="18" s="1"/>
  <c r="Q40" i="18"/>
  <c r="N40" i="18" s="1"/>
  <c r="Q41" i="18"/>
  <c r="H41" i="18" s="1"/>
  <c r="Q38" i="18"/>
  <c r="H38" i="18" s="1"/>
  <c r="Q39" i="18"/>
  <c r="K39" i="18" s="1"/>
  <c r="Q37" i="18"/>
  <c r="H37" i="18" s="1"/>
  <c r="Q36" i="18"/>
  <c r="H36" i="18" s="1"/>
  <c r="Q35" i="18"/>
  <c r="H35" i="18" s="1"/>
  <c r="Q33" i="18"/>
  <c r="N33" i="18" s="1"/>
  <c r="Q34" i="18"/>
  <c r="H34" i="18" s="1"/>
  <c r="Q32" i="18"/>
  <c r="K32" i="18" s="1"/>
  <c r="Q30" i="18"/>
  <c r="H30" i="18" s="1"/>
  <c r="Q31" i="18"/>
  <c r="H31" i="18" s="1"/>
  <c r="Q29" i="18"/>
  <c r="H29" i="18" s="1"/>
  <c r="Q28" i="18"/>
  <c r="H28" i="18" s="1"/>
  <c r="Q27" i="18"/>
  <c r="H27" i="18" s="1"/>
  <c r="Q26" i="18"/>
  <c r="N26" i="18" s="1"/>
  <c r="Q25" i="18"/>
  <c r="K25" i="18" s="1"/>
  <c r="Q24" i="18"/>
  <c r="O24" i="18" s="1"/>
  <c r="Q23" i="18"/>
  <c r="H23" i="18" s="1"/>
  <c r="Q22" i="18"/>
  <c r="H22" i="18" s="1"/>
  <c r="Q20" i="18"/>
  <c r="H20" i="18" s="1"/>
  <c r="Q21" i="18"/>
  <c r="H21" i="18" s="1"/>
  <c r="I8" i="18"/>
  <c r="Q19" i="18"/>
  <c r="H19" i="18" s="1"/>
  <c r="Q18" i="18"/>
  <c r="N18" i="18" s="1"/>
  <c r="Q17" i="18"/>
  <c r="K17" i="18" s="1"/>
  <c r="P8" i="18"/>
  <c r="Q16" i="18"/>
  <c r="M16" i="18" s="1"/>
  <c r="M8" i="18" s="1"/>
  <c r="L8" i="18"/>
  <c r="Q557" i="18"/>
  <c r="Q556" i="18"/>
  <c r="Q613" i="18"/>
  <c r="Q612" i="18"/>
  <c r="Q645" i="18"/>
  <c r="Q644" i="18"/>
  <c r="Q677" i="18"/>
  <c r="Q676" i="18"/>
  <c r="Q65" i="18"/>
  <c r="H65" i="18" s="1"/>
  <c r="Q429" i="18"/>
  <c r="Q428" i="18"/>
  <c r="Q493" i="18"/>
  <c r="Q492" i="18"/>
  <c r="Q48" i="18"/>
  <c r="Q98" i="18"/>
  <c r="K98" i="18" s="1"/>
  <c r="Q105" i="18"/>
  <c r="K105" i="18" s="1"/>
  <c r="Q114" i="18"/>
  <c r="K114" i="18" s="1"/>
  <c r="Q121" i="18"/>
  <c r="K121" i="18" s="1"/>
  <c r="Q130" i="18"/>
  <c r="N130" i="18" s="1"/>
  <c r="Q137" i="18"/>
  <c r="N137" i="18" s="1"/>
  <c r="Q170" i="18"/>
  <c r="K170" i="18" s="1"/>
  <c r="Q220" i="18"/>
  <c r="K220" i="18" s="1"/>
  <c r="Q251" i="18"/>
  <c r="N251" i="18" s="1"/>
  <c r="Q309" i="18"/>
  <c r="Q308" i="18"/>
  <c r="Q373" i="18"/>
  <c r="Q372" i="18"/>
  <c r="Q437" i="18"/>
  <c r="Q436" i="18"/>
  <c r="Q501" i="18"/>
  <c r="Q500" i="18"/>
  <c r="Q565" i="18"/>
  <c r="Q564" i="18"/>
  <c r="Q43" i="18"/>
  <c r="H43" i="18" s="1"/>
  <c r="Q177" i="18"/>
  <c r="N177" i="18" s="1"/>
  <c r="Q227" i="18"/>
  <c r="K227" i="18" s="1"/>
  <c r="Q365" i="18"/>
  <c r="Q364" i="18"/>
  <c r="Q83" i="18"/>
  <c r="H83" i="18" s="1"/>
  <c r="Q102" i="18"/>
  <c r="H102" i="18" s="1"/>
  <c r="Q103" i="18"/>
  <c r="H103" i="18" s="1"/>
  <c r="Q118" i="18"/>
  <c r="H118" i="18" s="1"/>
  <c r="Q119" i="18"/>
  <c r="H119" i="18" s="1"/>
  <c r="Q134" i="18"/>
  <c r="H134" i="18" s="1"/>
  <c r="Q135" i="18"/>
  <c r="H135" i="18" s="1"/>
  <c r="Q161" i="18"/>
  <c r="J161" i="18" s="1"/>
  <c r="Q194" i="18"/>
  <c r="H194" i="18" s="1"/>
  <c r="Q211" i="18"/>
  <c r="K211" i="18" s="1"/>
  <c r="Q244" i="18"/>
  <c r="N244" i="18" s="1"/>
  <c r="Q317" i="18"/>
  <c r="Q316" i="18"/>
  <c r="Q381" i="18"/>
  <c r="Q380" i="18"/>
  <c r="Q445" i="18"/>
  <c r="Q444" i="18"/>
  <c r="Q509" i="18"/>
  <c r="Q508" i="18"/>
  <c r="Q573" i="18"/>
  <c r="Q572" i="18"/>
  <c r="Q621" i="18"/>
  <c r="Q620" i="18"/>
  <c r="Q653" i="18"/>
  <c r="Q652" i="18"/>
  <c r="Q685" i="18"/>
  <c r="Q684" i="18"/>
  <c r="Q86" i="18"/>
  <c r="H86" i="18" s="1"/>
  <c r="Q301" i="18"/>
  <c r="Q300" i="18"/>
  <c r="Q53" i="18"/>
  <c r="Q261" i="18"/>
  <c r="N261" i="18" s="1"/>
  <c r="Q325" i="18"/>
  <c r="Q324" i="18"/>
  <c r="Q389" i="18"/>
  <c r="Q388" i="18"/>
  <c r="Q453" i="18"/>
  <c r="Q452" i="18"/>
  <c r="Q517" i="18"/>
  <c r="Q516" i="18"/>
  <c r="Q581" i="18"/>
  <c r="Q580" i="18"/>
  <c r="Q146" i="18"/>
  <c r="H146" i="18" s="1"/>
  <c r="Q78" i="18"/>
  <c r="N78" i="18" s="1"/>
  <c r="Q58" i="18"/>
  <c r="H58" i="18" s="1"/>
  <c r="Q75" i="18"/>
  <c r="Q87" i="18"/>
  <c r="H87" i="18" s="1"/>
  <c r="Q90" i="18"/>
  <c r="H90" i="18" s="1"/>
  <c r="Q145" i="18"/>
  <c r="H145" i="18" s="1"/>
  <c r="Q178" i="18"/>
  <c r="H178" i="18" s="1"/>
  <c r="Q228" i="18"/>
  <c r="N228" i="18" s="1"/>
  <c r="Q259" i="18"/>
  <c r="O259" i="18" s="1"/>
  <c r="Q276" i="18"/>
  <c r="Q333" i="18"/>
  <c r="Q332" i="18"/>
  <c r="Q397" i="18"/>
  <c r="Q396" i="18"/>
  <c r="Q461" i="18"/>
  <c r="Q460" i="18"/>
  <c r="Q525" i="18"/>
  <c r="Q524" i="18"/>
  <c r="Q589" i="18"/>
  <c r="Q588" i="18"/>
  <c r="Q629" i="18"/>
  <c r="Q628" i="18"/>
  <c r="Q661" i="18"/>
  <c r="Q660" i="18"/>
  <c r="Q81" i="18"/>
  <c r="H81" i="18" s="1"/>
  <c r="Q70" i="18"/>
  <c r="K70" i="18" s="1"/>
  <c r="Q73" i="18"/>
  <c r="H73" i="18" s="1"/>
  <c r="Q94" i="18"/>
  <c r="H94" i="18" s="1"/>
  <c r="Q97" i="18"/>
  <c r="H97" i="18" s="1"/>
  <c r="Q113" i="18"/>
  <c r="H113" i="18" s="1"/>
  <c r="Q129" i="18"/>
  <c r="K129" i="18" s="1"/>
  <c r="Q169" i="18"/>
  <c r="H169" i="18" s="1"/>
  <c r="Q219" i="18"/>
  <c r="H219" i="18" s="1"/>
  <c r="Q341" i="18"/>
  <c r="Q340" i="18"/>
  <c r="Q405" i="18"/>
  <c r="Q404" i="18"/>
  <c r="Q469" i="18"/>
  <c r="Q468" i="18"/>
  <c r="Q533" i="18"/>
  <c r="Q532" i="18"/>
  <c r="Q597" i="18"/>
  <c r="Q596" i="18"/>
  <c r="Q110" i="18"/>
  <c r="H110" i="18" s="1"/>
  <c r="Q111" i="18"/>
  <c r="H111" i="18" s="1"/>
  <c r="Q285" i="18"/>
  <c r="Q284" i="18"/>
  <c r="Q349" i="18"/>
  <c r="Q348" i="18"/>
  <c r="Q413" i="18"/>
  <c r="Q412" i="18"/>
  <c r="Q477" i="18"/>
  <c r="Q476" i="18"/>
  <c r="Q541" i="18"/>
  <c r="Q540" i="18"/>
  <c r="Q605" i="18"/>
  <c r="Q604" i="18"/>
  <c r="Q637" i="18"/>
  <c r="Q636" i="18"/>
  <c r="Q669" i="18"/>
  <c r="Q668" i="18"/>
  <c r="Q126" i="18"/>
  <c r="H126" i="18" s="1"/>
  <c r="Q127" i="18"/>
  <c r="H127" i="18" s="1"/>
  <c r="Q186" i="18"/>
  <c r="K186" i="18" s="1"/>
  <c r="Q236" i="18"/>
  <c r="K236" i="18" s="1"/>
  <c r="Q293" i="18"/>
  <c r="Q292" i="18"/>
  <c r="Q357" i="18"/>
  <c r="Q356" i="18"/>
  <c r="Q421" i="18"/>
  <c r="Q420" i="18"/>
  <c r="Q485" i="18"/>
  <c r="Q484" i="18"/>
  <c r="Q549" i="18"/>
  <c r="Q548" i="18"/>
  <c r="Q143" i="18"/>
  <c r="K143" i="18" s="1"/>
  <c r="Q151" i="18"/>
  <c r="K151" i="18" s="1"/>
  <c r="Q159" i="18"/>
  <c r="N159" i="18" s="1"/>
  <c r="Q167" i="18"/>
  <c r="K167" i="18" s="1"/>
  <c r="Q175" i="18"/>
  <c r="H175" i="18" s="1"/>
  <c r="Q183" i="18"/>
  <c r="O183" i="18" s="1"/>
  <c r="Q191" i="18"/>
  <c r="H191" i="18" s="1"/>
  <c r="Q201" i="18"/>
  <c r="K201" i="18" s="1"/>
  <c r="Q209" i="18"/>
  <c r="N209" i="18" s="1"/>
  <c r="Q217" i="18"/>
  <c r="K217" i="18" s="1"/>
  <c r="Q225" i="18"/>
  <c r="N225" i="18" s="1"/>
  <c r="Q233" i="18"/>
  <c r="K233" i="18" s="1"/>
  <c r="Q241" i="18"/>
  <c r="N241" i="18" s="1"/>
  <c r="Q249" i="18"/>
  <c r="O249" i="18" s="1"/>
  <c r="Q257" i="18"/>
  <c r="N257" i="18" s="1"/>
  <c r="Q265" i="18"/>
  <c r="H265" i="18" s="1"/>
  <c r="Q273" i="18"/>
  <c r="Q281" i="18"/>
  <c r="Q289" i="18"/>
  <c r="Q297" i="18"/>
  <c r="Q305" i="18"/>
  <c r="Q313" i="18"/>
  <c r="Q321" i="18"/>
  <c r="Q329" i="18"/>
  <c r="Q337" i="18"/>
  <c r="Q345" i="18"/>
  <c r="Q353" i="18"/>
  <c r="Q361" i="18"/>
  <c r="Q369" i="18"/>
  <c r="Q377" i="18"/>
  <c r="Q385" i="18"/>
  <c r="Q393" i="18"/>
  <c r="Q401" i="18"/>
  <c r="Q409" i="18"/>
  <c r="Q417" i="18"/>
  <c r="Q425" i="18"/>
  <c r="Q433" i="18"/>
  <c r="Q441" i="18"/>
  <c r="Q449" i="18"/>
  <c r="Q457" i="18"/>
  <c r="Q465" i="18"/>
  <c r="Q473" i="18"/>
  <c r="Q481" i="18"/>
  <c r="Q489" i="18"/>
  <c r="Q497" i="18"/>
  <c r="Q505" i="18"/>
  <c r="Q513" i="18"/>
  <c r="Q521" i="18"/>
  <c r="Q529" i="18"/>
  <c r="Q537" i="18"/>
  <c r="Q545" i="18"/>
  <c r="Q553" i="18"/>
  <c r="Q561" i="18"/>
  <c r="Q569" i="18"/>
  <c r="Q577" i="18"/>
  <c r="Q585" i="18"/>
  <c r="Q593" i="18"/>
  <c r="Q601" i="18"/>
  <c r="Q609" i="18"/>
  <c r="Q617" i="18"/>
  <c r="Q625" i="18"/>
  <c r="Q633" i="18"/>
  <c r="Q641" i="18"/>
  <c r="Q649" i="18"/>
  <c r="Q657" i="18"/>
  <c r="Q665" i="18"/>
  <c r="Q673" i="18"/>
  <c r="Q681" i="18"/>
  <c r="Q689" i="18"/>
  <c r="Q697" i="18"/>
  <c r="Q705" i="18"/>
  <c r="Q692" i="18"/>
  <c r="Q700" i="18"/>
  <c r="AC50" i="18" l="1"/>
  <c r="H165" i="18"/>
  <c r="N165" i="18"/>
  <c r="N164" i="18"/>
  <c r="O164" i="18"/>
  <c r="K163" i="18"/>
  <c r="J163" i="18"/>
  <c r="J8" i="18" s="1"/>
  <c r="O53" i="18"/>
  <c r="K53" i="18"/>
  <c r="H8" i="18"/>
  <c r="N8" i="18" l="1"/>
  <c r="O8" i="18"/>
  <c r="K8" i="18"/>
  <c r="G8" i="18" l="1"/>
  <c r="N9" i="18" l="1"/>
  <c r="S7" i="18" s="1"/>
  <c r="H9" i="18"/>
  <c r="L9" i="18"/>
  <c r="S5" i="18" s="1"/>
  <c r="I9" i="18"/>
  <c r="S2" i="18" s="1"/>
  <c r="P9" i="18"/>
  <c r="S9" i="18" s="1"/>
  <c r="J9" i="18"/>
  <c r="S3" i="18" s="1"/>
  <c r="H11" i="18"/>
  <c r="M9" i="18"/>
  <c r="S6" i="18" s="1"/>
  <c r="K9" i="18"/>
  <c r="S4" i="18" s="1"/>
  <c r="O9" i="18"/>
  <c r="S8" i="18" s="1"/>
  <c r="S1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Fedor Gelikhov</author>
  </authors>
  <commentList>
    <comment ref="AD43" authorId="0" shapeId="0" xr:uid="{6CB3A4E3-EE70-4A4F-80AE-80CE0E059D9E}">
      <text>
        <r>
          <rPr>
            <b/>
            <sz val="9"/>
            <color indexed="81"/>
            <rFont val="Tahoma"/>
            <family val="2"/>
          </rPr>
          <t>Fedor Gelikhov:</t>
        </r>
        <r>
          <rPr>
            <sz val="9"/>
            <color indexed="81"/>
            <rFont val="Tahoma"/>
            <family val="2"/>
          </rPr>
          <t xml:space="preserve">
В действительности, реальный объем породы,перевозимой в кузове, 87-92% от номинального значения по SAE. Это происходит потому, что когда порода грузится в кузов она формирует коническую форму</t>
        </r>
      </text>
    </comment>
  </commentList>
</comments>
</file>

<file path=xl/sharedStrings.xml><?xml version="1.0" encoding="utf-8"?>
<sst xmlns="http://schemas.openxmlformats.org/spreadsheetml/2006/main" count="66" uniqueCount="55">
  <si>
    <t>Экскаватор:</t>
  </si>
  <si>
    <t>Самосвалы:</t>
  </si>
  <si>
    <t>Дата:</t>
  </si>
  <si>
    <t>№</t>
  </si>
  <si>
    <t>Действие</t>
  </si>
  <si>
    <t>Конец действия</t>
  </si>
  <si>
    <t>Погрузка</t>
  </si>
  <si>
    <t>Очистка зоны погрузки</t>
  </si>
  <si>
    <t>Обработка уступа</t>
  </si>
  <si>
    <t>Подготовка уступа</t>
  </si>
  <si>
    <t>Передвижение</t>
  </si>
  <si>
    <t>Ожидание самосвала</t>
  </si>
  <si>
    <t>Другие</t>
  </si>
  <si>
    <t>Всего</t>
  </si>
  <si>
    <t>Процент (%)</t>
  </si>
  <si>
    <t>Эффективность работы (Е)</t>
  </si>
  <si>
    <t>%</t>
  </si>
  <si>
    <t>Кол-во ковшей</t>
  </si>
  <si>
    <t xml:space="preserve">Простой </t>
  </si>
  <si>
    <t>Время</t>
  </si>
  <si>
    <t>Время цикла</t>
  </si>
  <si>
    <t>№ самосвала</t>
  </si>
  <si>
    <t>время загрузки, с</t>
  </si>
  <si>
    <t>кол-во ковшей</t>
  </si>
  <si>
    <t>Начало</t>
  </si>
  <si>
    <t>Загрузка, т</t>
  </si>
  <si>
    <t>Кн</t>
  </si>
  <si>
    <t>Вместимость кузова SAE</t>
  </si>
  <si>
    <t>Вместимость ковша SAE</t>
  </si>
  <si>
    <t>Наполнение ковша, факт</t>
  </si>
  <si>
    <t>Вместимость кузова, факт</t>
  </si>
  <si>
    <t>Факт объем</t>
  </si>
  <si>
    <t>t\m3</t>
  </si>
  <si>
    <t>21.09.2021 г.</t>
  </si>
  <si>
    <t xml:space="preserve"> Cat® 395 № 1</t>
  </si>
  <si>
    <t xml:space="preserve">Данные для расчета эффективности работы экскаватора </t>
  </si>
  <si>
    <t>HD465-7R</t>
  </si>
  <si>
    <t>зачистка</t>
  </si>
  <si>
    <t>Набор 1-го ковша</t>
  </si>
  <si>
    <t>Самосвал №</t>
  </si>
  <si>
    <t>1,68</t>
  </si>
  <si>
    <t>1,73</t>
  </si>
  <si>
    <t>1,62</t>
  </si>
  <si>
    <t>1,6</t>
  </si>
  <si>
    <t>1,48</t>
  </si>
  <si>
    <t>1,77</t>
  </si>
  <si>
    <t>1,58</t>
  </si>
  <si>
    <t>1,57</t>
  </si>
  <si>
    <t>1,52</t>
  </si>
  <si>
    <t>1,55</t>
  </si>
  <si>
    <t>1,53</t>
  </si>
  <si>
    <t>2,08</t>
  </si>
  <si>
    <t>2,32</t>
  </si>
  <si>
    <t>Комментарий</t>
  </si>
  <si>
    <t>CAT777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</si>
</sst>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"/>
    <numFmt numFmtId="165" formatCode="h:mm:ss;@"/>
    <numFmt numFmtId="166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b/>
      <sz val="10"/>
      <color rgb="FFFF0000"/>
      <name val="Arial"/>
      <family val="2"/>
      <charset val="204"/>
    </font>
    <font>
      <sz val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5" fillId="0" borderId="0" applyFont="0" applyFill="0" applyBorder="0" applyAlignment="0" applyProtection="0"/>
    <xf numFmtId="0" fontId="9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93">
    <xf numFmtId="0" fontId="0" fillId="0" borderId="0" xfId="0"/>
    <xf numFmtId="0" fontId="3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/>
    <xf numFmtId="0" fontId="4" fillId="0" borderId="0" xfId="0" applyFont="1"/>
    <xf numFmtId="164" fontId="4" fillId="0" borderId="0" xfId="0" applyNumberFormat="1" applyFont="1"/>
    <xf numFmtId="165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165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/>
    <xf numFmtId="164" fontId="4" fillId="0" borderId="1" xfId="0" applyNumberFormat="1" applyFont="1" applyBorder="1"/>
    <xf numFmtId="164" fontId="3" fillId="0" borderId="0" xfId="0" applyNumberFormat="1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wrapText="1"/>
    </xf>
    <xf numFmtId="165" fontId="4" fillId="0" borderId="1" xfId="0" applyNumberFormat="1" applyFont="1" applyBorder="1" applyAlignment="1">
      <alignment horizontal="center"/>
    </xf>
    <xf numFmtId="0" fontId="4" fillId="0" borderId="0" xfId="0" applyFont="1" applyBorder="1"/>
    <xf numFmtId="165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Border="1" applyAlignment="1">
      <alignment horizontal="right"/>
    </xf>
    <xf numFmtId="165" fontId="4" fillId="0" borderId="0" xfId="0" applyNumberFormat="1" applyFont="1" applyBorder="1" applyAlignment="1">
      <alignment horizontal="center"/>
    </xf>
    <xf numFmtId="1" fontId="3" fillId="0" borderId="0" xfId="0" applyNumberFormat="1" applyFont="1" applyAlignment="1">
      <alignment horizontal="center" vertical="center"/>
    </xf>
    <xf numFmtId="166" fontId="3" fillId="0" borderId="1" xfId="0" applyNumberFormat="1" applyFont="1" applyBorder="1"/>
    <xf numFmtId="2" fontId="3" fillId="0" borderId="1" xfId="0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4" fontId="3" fillId="0" borderId="3" xfId="0" applyNumberFormat="1" applyFont="1" applyBorder="1"/>
    <xf numFmtId="4" fontId="3" fillId="0" borderId="1" xfId="0" applyNumberFormat="1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2" fontId="4" fillId="0" borderId="0" xfId="0" applyNumberFormat="1" applyFont="1"/>
    <xf numFmtId="1" fontId="3" fillId="0" borderId="1" xfId="0" applyNumberFormat="1" applyFont="1" applyBorder="1" applyAlignment="1">
      <alignment horizontal="center" vertical="center"/>
    </xf>
    <xf numFmtId="4" fontId="3" fillId="0" borderId="0" xfId="0" applyNumberFormat="1" applyFont="1" applyBorder="1"/>
    <xf numFmtId="1" fontId="4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165" fontId="4" fillId="0" borderId="0" xfId="0" applyNumberFormat="1" applyFont="1"/>
    <xf numFmtId="0" fontId="4" fillId="0" borderId="2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4" fontId="4" fillId="3" borderId="1" xfId="0" applyNumberFormat="1" applyFont="1" applyFill="1" applyBorder="1"/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6" fillId="0" borderId="0" xfId="0" applyFont="1"/>
    <xf numFmtId="4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3" fillId="3" borderId="1" xfId="0" applyFont="1" applyFill="1" applyBorder="1" applyAlignment="1">
      <alignment horizontal="right"/>
    </xf>
    <xf numFmtId="2" fontId="6" fillId="0" borderId="1" xfId="1" applyNumberFormat="1" applyFont="1" applyBorder="1"/>
    <xf numFmtId="0" fontId="6" fillId="0" borderId="0" xfId="0" applyFont="1" applyAlignment="1">
      <alignment horizontal="center"/>
    </xf>
    <xf numFmtId="43" fontId="6" fillId="0" borderId="1" xfId="1" applyFont="1" applyBorder="1" applyAlignment="1">
      <alignment horizontal="center"/>
    </xf>
    <xf numFmtId="0" fontId="6" fillId="0" borderId="1" xfId="0" applyFont="1" applyBorder="1"/>
    <xf numFmtId="43" fontId="6" fillId="0" borderId="1" xfId="0" applyNumberFormat="1" applyFont="1" applyBorder="1" applyAlignment="1">
      <alignment horizontal="center"/>
    </xf>
    <xf numFmtId="43" fontId="4" fillId="0" borderId="0" xfId="0" applyNumberFormat="1" applyFont="1"/>
    <xf numFmtId="0" fontId="4" fillId="0" borderId="3" xfId="0" applyFont="1" applyFill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10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textRotation="90" wrapText="1"/>
    </xf>
    <xf numFmtId="0" fontId="11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/>
    </xf>
    <xf numFmtId="1" fontId="3" fillId="0" borderId="0" xfId="0" applyNumberFormat="1" applyFont="1" applyBorder="1" applyAlignment="1">
      <alignment horizontal="center"/>
    </xf>
    <xf numFmtId="166" fontId="3" fillId="0" borderId="0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/>
    </xf>
    <xf numFmtId="2" fontId="4" fillId="0" borderId="0" xfId="0" applyNumberFormat="1" applyFont="1" applyBorder="1"/>
    <xf numFmtId="2" fontId="3" fillId="0" borderId="0" xfId="0" applyNumberFormat="1" applyFont="1" applyBorder="1"/>
    <xf numFmtId="0" fontId="4" fillId="0" borderId="1" xfId="0" applyFont="1" applyBorder="1" applyAlignment="1">
      <alignment horizontal="center" vertical="center" textRotation="90" wrapText="1"/>
    </xf>
    <xf numFmtId="21" fontId="4" fillId="0" borderId="0" xfId="0" applyNumberFormat="1" applyFon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textRotation="90"/>
    </xf>
    <xf numFmtId="0" fontId="4" fillId="0" borderId="3" xfId="0" applyFont="1" applyBorder="1" applyAlignment="1">
      <alignment horizontal="center" vertical="center" textRotation="90"/>
    </xf>
    <xf numFmtId="0" fontId="4" fillId="2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45"/>
    </xf>
  </cellXfs>
  <cellStyles count="7">
    <cellStyle name="Обычный" xfId="0" builtinId="0"/>
    <cellStyle name="Обычный 13" xfId="2" xr:uid="{00000000-0005-0000-0000-000001000000}"/>
    <cellStyle name="Обычный 2" xfId="3" xr:uid="{00000000-0005-0000-0000-000002000000}"/>
    <cellStyle name="Обычный 3" xfId="6" xr:uid="{00000000-0005-0000-0000-000003000000}"/>
    <cellStyle name="Процентный 2" xfId="5" xr:uid="{00000000-0005-0000-0000-000004000000}"/>
    <cellStyle name="Финансовый" xfId="1" builtinId="3"/>
    <cellStyle name="Финансовый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ru-RU" sz="1200" b="1" i="0" baseline="0">
                <a:effectLst/>
                <a:latin typeface="+mn-lt"/>
                <a:cs typeface="Arial" panose="020B0604020202020204" pitchFamily="34" charset="0"/>
              </a:rPr>
              <a:t>Время цикла экскаватора </a:t>
            </a:r>
            <a:r>
              <a:rPr lang="en-US" sz="1200" b="1" i="0" baseline="0">
                <a:effectLst/>
                <a:latin typeface="+mn-lt"/>
              </a:rPr>
              <a:t>Cat® 395 № 1</a:t>
            </a:r>
            <a:r>
              <a:rPr lang="ru-RU" sz="1000" b="1" i="0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endParaRPr lang="ru-RU" sz="10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circle"/>
            <c:size val="7"/>
            <c:spPr>
              <a:solidFill>
                <a:schemeClr val="tx2"/>
              </a:solidFill>
            </c:spPr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yVal>
            <c:numRef>
              <c:f>'395'!$X$15:$X$707</c:f>
              <c:numCache>
                <c:formatCode>0</c:formatCode>
                <c:ptCount val="693"/>
                <c:pt idx="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8-44F8-89D5-B4194D29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26880"/>
        <c:axId val="44632096"/>
      </c:scatterChart>
      <c:valAx>
        <c:axId val="319126880"/>
        <c:scaling>
          <c:orientation val="minMax"/>
          <c:max val="8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4632096"/>
        <c:crosses val="autoZero"/>
        <c:crossBetween val="midCat"/>
      </c:valAx>
      <c:valAx>
        <c:axId val="44632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1" i="0" baseline="0">
                    <a:effectLst/>
                  </a:rPr>
                  <a:t>Время (с)</a:t>
                </a:r>
                <a:endParaRPr lang="ru-RU" sz="1200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19126880"/>
        <c:crosses val="autoZero"/>
        <c:crossBetween val="midCat"/>
        <c:maj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ru-RU" sz="1000">
                <a:latin typeface="Arial" panose="020B0604020202020204" pitchFamily="34" charset="0"/>
                <a:cs typeface="Arial" panose="020B0604020202020204" pitchFamily="34" charset="0"/>
              </a:rPr>
              <a:t>Количество загружаемых ковшей в самосвалы</a:t>
            </a:r>
            <a:r>
              <a:rPr lang="ru-RU" sz="1000" baseline="0">
                <a:latin typeface="Arial" panose="020B0604020202020204" pitchFamily="34" charset="0"/>
                <a:cs typeface="Arial" panose="020B0604020202020204" pitchFamily="34" charset="0"/>
              </a:rPr>
              <a:t> __</a:t>
            </a:r>
            <a:r>
              <a:rPr lang="ru-RU" sz="1000" b="1" i="0" u="none" strike="noStrike" baseline="0">
                <a:effectLst/>
              </a:rPr>
              <a:t>экскаватором ___-</a:t>
            </a:r>
            <a:endParaRPr lang="ru-RU" sz="10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422688084641768"/>
          <c:y val="0.2339243777565832"/>
          <c:w val="0.86510253050643737"/>
          <c:h val="0.673900788464503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303-4AA4-8739-CE8A56E3314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303-4AA4-8739-CE8A56E3314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303-4AA4-8739-CE8A56E3314B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303-4AA4-8739-CE8A56E3314B}"/>
              </c:ext>
            </c:extLst>
          </c:dPt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'395'!$AA$15:$AA$23</c:f>
              <c:numCache>
                <c:formatCode>General</c:formatCode>
                <c:ptCount val="9"/>
              </c:numCache>
            </c:numRef>
          </c:cat>
          <c:val>
            <c:numRef>
              <c:f>'395'!$AC$15:$AC$23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4-1303-4AA4-8739-CE8A56E33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717272"/>
        <c:axId val="318725856"/>
      </c:barChart>
      <c:catAx>
        <c:axId val="318717272"/>
        <c:scaling>
          <c:orientation val="minMax"/>
        </c:scaling>
        <c:delete val="0"/>
        <c:axPos val="b"/>
        <c:numFmt formatCode="General" sourceLinked="1"/>
        <c:majorTickMark val="none"/>
        <c:minorTickMark val="out"/>
        <c:tickLblPos val="nextTo"/>
        <c:crossAx val="318725856"/>
        <c:crosses val="autoZero"/>
        <c:auto val="1"/>
        <c:lblAlgn val="ctr"/>
        <c:lblOffset val="100"/>
        <c:noMultiLvlLbl val="0"/>
      </c:catAx>
      <c:valAx>
        <c:axId val="31872585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Кол-во ковшей (ед)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18717272"/>
        <c:crosses val="autoZero"/>
        <c:crossBetween val="between"/>
        <c:majorUnit val="5"/>
        <c:min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ru-RU" sz="1000" b="1" i="0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Время</a:t>
            </a:r>
            <a:r>
              <a:rPr lang="en-US" sz="1000" b="1" i="0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ru-RU" sz="1000" b="1" i="0" baseline="0">
                <a:effectLst/>
                <a:latin typeface="Arial" panose="020B0604020202020204" pitchFamily="34" charset="0"/>
                <a:cs typeface="Arial" panose="020B0604020202020204" pitchFamily="34" charset="0"/>
              </a:rPr>
              <a:t>загрузки самосвалов __</a:t>
            </a:r>
            <a:r>
              <a:rPr lang="ru-RU" sz="1000" b="1" i="0" u="none" strike="noStrike" baseline="0">
                <a:effectLst/>
              </a:rPr>
              <a:t>экскаватором ___</a:t>
            </a:r>
            <a:endParaRPr lang="en-US" sz="1000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67360714471157"/>
          <c:y val="0.26289753509002894"/>
          <c:w val="0.84542013752382927"/>
          <c:h val="0.60822392805784542"/>
        </c:manualLayout>
      </c:layout>
      <c:lineChart>
        <c:grouping val="stacked"/>
        <c:varyColors val="0"/>
        <c:ser>
          <c:idx val="0"/>
          <c:order val="0"/>
          <c:marker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0-ADEC-48D8-8823-BAFE1EB891C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1-ADEC-48D8-8823-BAFE1EB891C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ADEC-48D8-8823-BAFE1EB891C4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3-ADEC-48D8-8823-BAFE1EB891C4}"/>
              </c:ext>
            </c:extLst>
          </c:dPt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'395'!$AA$15:$AA$23</c:f>
              <c:numCache>
                <c:formatCode>General</c:formatCode>
                <c:ptCount val="9"/>
              </c:numCache>
            </c:numRef>
          </c:cat>
          <c:val>
            <c:numRef>
              <c:f>'395'!$AB$15:$AB$23</c:f>
              <c:numCache>
                <c:formatCode>General</c:formatCode>
                <c:ptCount val="9"/>
                <c:pt idx="0">
                  <c:v>130</c:v>
                </c:pt>
                <c:pt idx="1">
                  <c:v>122</c:v>
                </c:pt>
                <c:pt idx="2">
                  <c:v>159</c:v>
                </c:pt>
                <c:pt idx="3">
                  <c:v>212</c:v>
                </c:pt>
                <c:pt idx="4">
                  <c:v>168</c:v>
                </c:pt>
                <c:pt idx="5">
                  <c:v>158</c:v>
                </c:pt>
                <c:pt idx="6">
                  <c:v>126</c:v>
                </c:pt>
                <c:pt idx="7">
                  <c:v>218</c:v>
                </c:pt>
                <c:pt idx="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EC-48D8-8823-BAFE1EB89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319696704"/>
        <c:axId val="319701192"/>
      </c:lineChart>
      <c:catAx>
        <c:axId val="319696704"/>
        <c:scaling>
          <c:orientation val="minMax"/>
        </c:scaling>
        <c:delete val="0"/>
        <c:axPos val="b"/>
        <c:numFmt formatCode="General" sourceLinked="1"/>
        <c:majorTickMark val="none"/>
        <c:minorTickMark val="out"/>
        <c:tickLblPos val="nextTo"/>
        <c:crossAx val="319701192"/>
        <c:crosses val="autoZero"/>
        <c:auto val="1"/>
        <c:lblAlgn val="ctr"/>
        <c:lblOffset val="100"/>
        <c:noMultiLvlLbl val="0"/>
      </c:catAx>
      <c:valAx>
        <c:axId val="319701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1" i="0" baseline="0">
                    <a:effectLst/>
                  </a:rPr>
                  <a:t>Время (с)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969670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  <a:latin typeface="+mn-lt"/>
              </a:rPr>
              <a:t>Cat® 395 № 1</a:t>
            </a:r>
            <a:r>
              <a:rPr lang="ru-RU" sz="1200">
                <a:solidFill>
                  <a:sysClr val="windowText" lastClr="000000"/>
                </a:solidFill>
                <a:latin typeface="+mn-lt"/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9564352211100736"/>
          <c:y val="0.20506362581683332"/>
          <c:w val="0.78927627077956553"/>
          <c:h val="0.61461845511743285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9DA-4729-B62B-2902DD23D23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9DA-4729-B62B-2902DD23D23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9DA-4729-B62B-2902DD23D23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89DA-4729-B62B-2902DD23D23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89DA-4729-B62B-2902DD23D23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89DA-4729-B62B-2902DD23D23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89DA-4729-B62B-2902DD23D23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89DA-4729-B62B-2902DD23D235}"/>
              </c:ext>
            </c:extLst>
          </c:dPt>
          <c:dLbls>
            <c:dLbl>
              <c:idx val="0"/>
              <c:layout>
                <c:manualLayout>
                  <c:x val="-0.19258117139169936"/>
                  <c:y val="-0.10953682306907588"/>
                </c:manualLayout>
              </c:layout>
              <c:tx>
                <c:rich>
                  <a:bodyPr/>
                  <a:lstStyle/>
                  <a:p>
                    <a:fld id="{2FDEA76A-AF24-4AA5-B75F-D83C3567CF05}" type="CATEGORYNAME">
                      <a:rPr lang="ru-RU" b="1">
                        <a:solidFill>
                          <a:schemeClr val="bg1"/>
                        </a:solidFill>
                      </a:rPr>
                      <a:pPr/>
                      <a:t>[ИМЯ КАТЕГОРИИ]</a:t>
                    </a:fld>
                    <a:r>
                      <a:rPr lang="ru-RU">
                        <a:solidFill>
                          <a:schemeClr val="bg1"/>
                        </a:solidFill>
                      </a:rPr>
                      <a:t> </a:t>
                    </a:r>
                    <a:fld id="{EF7D48E4-7004-43F5-8C06-3988012AFAF1}" type="PERCENTAGE">
                      <a:rPr lang="ru-RU" b="1" baseline="0">
                        <a:solidFill>
                          <a:schemeClr val="bg1"/>
                        </a:solidFill>
                      </a:rPr>
                      <a:pPr/>
                      <a:t>[ПРОЦЕНТ]</a:t>
                    </a:fld>
                    <a:endParaRPr lang="ru-RU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9DA-4729-B62B-2902DD23D235}"/>
                </c:ext>
              </c:extLst>
            </c:dLbl>
            <c:dLbl>
              <c:idx val="1"/>
              <c:layout>
                <c:manualLayout>
                  <c:x val="-5.3263410252284836E-2"/>
                  <c:y val="7.8569686558071394E-2"/>
                </c:manualLayout>
              </c:layout>
              <c:tx>
                <c:rich>
                  <a:bodyPr/>
                  <a:lstStyle/>
                  <a:p>
                    <a:fld id="{E098FC2C-B612-4E22-9027-8B29DAD4BD78}" type="CATEGORYNAME">
                      <a:rPr lang="ru-RU"/>
                      <a:pPr/>
                      <a:t>[ИМЯ КАТЕГОРИИ]</a:t>
                    </a:fld>
                    <a:r>
                      <a:rPr lang="ru-RU"/>
                      <a:t> </a:t>
                    </a:r>
                    <a:fld id="{A4C3A0FB-F1FA-4A2A-B44A-36034A1897AD}" type="PERCENTAGE">
                      <a:rPr lang="ru-RU" baseline="0"/>
                      <a:pPr/>
                      <a:t>[ПРОЦЕНТ]</a:t>
                    </a:fld>
                    <a:endParaRPr lang="ru-RU"/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9DA-4729-B62B-2902DD23D235}"/>
                </c:ext>
              </c:extLst>
            </c:dLbl>
            <c:dLbl>
              <c:idx val="2"/>
              <c:layout>
                <c:manualLayout>
                  <c:x val="-0.17846593921489121"/>
                  <c:y val="-2.285098231644796E-2"/>
                </c:manualLayout>
              </c:layout>
              <c:tx>
                <c:rich>
                  <a:bodyPr/>
                  <a:lstStyle/>
                  <a:p>
                    <a:fld id="{32812843-BBD2-45B0-B0E6-6FBED4581B1B}" type="CATEGORYNAME">
                      <a:rPr lang="ru-RU"/>
                      <a:pPr/>
                      <a:t>[ИМЯ КАТЕГОРИИ]</a:t>
                    </a:fld>
                    <a:r>
                      <a:rPr lang="ru-RU"/>
                      <a:t> </a:t>
                    </a:r>
                    <a:fld id="{B17975E1-4B05-4C83-AB56-4324F463ADF0}" type="PERCENTAGE">
                      <a:rPr lang="ru-RU" baseline="0"/>
                      <a:pPr/>
                      <a:t>[ПРОЦЕНТ]</a:t>
                    </a:fld>
                    <a:endParaRPr lang="ru-RU"/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9DA-4729-B62B-2902DD23D235}"/>
                </c:ext>
              </c:extLst>
            </c:dLbl>
            <c:dLbl>
              <c:idx val="3"/>
              <c:layout>
                <c:manualLayout>
                  <c:x val="-0.18736009496176614"/>
                  <c:y val="-8.63273441720210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DA-4729-B62B-2902DD23D23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DA-4729-B62B-2902DD23D235}"/>
                </c:ext>
              </c:extLst>
            </c:dLbl>
            <c:dLbl>
              <c:idx val="5"/>
              <c:layout>
                <c:manualLayout>
                  <c:x val="-4.3107227199152345E-2"/>
                  <c:y val="-9.650851681726670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DA-4729-B62B-2902DD23D235}"/>
                </c:ext>
              </c:extLst>
            </c:dLbl>
            <c:dLbl>
              <c:idx val="6"/>
              <c:layout>
                <c:manualLayout>
                  <c:x val="-4.8273484503503973E-2"/>
                  <c:y val="-6.891746731445688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34D7A1C-8CB5-46EC-81EB-A2187B0CA368}" type="CATEGORYNAME">
                      <a:rPr lang="ru-RU"/>
                      <a:pPr>
                        <a:defRPr sz="1000">
                          <a:solidFill>
                            <a:sysClr val="windowText" lastClr="000000"/>
                          </a:solidFill>
                        </a:defRPr>
                      </a:pPr>
                      <a:t>[ИМЯ КАТЕГОРИИ]</a:t>
                    </a:fld>
                    <a:r>
                      <a:rPr lang="ru-RU"/>
                      <a:t> </a:t>
                    </a:r>
                    <a:fld id="{44B169E5-7B4F-47A8-B669-3A238BB7ACC1}" type="PERCENTAGE">
                      <a:rPr lang="ru-RU" baseline="0"/>
                      <a:pPr>
                        <a:defRPr sz="1000">
                          <a:solidFill>
                            <a:sysClr val="windowText" lastClr="000000"/>
                          </a:solidFill>
                        </a:defRPr>
                      </a:pPr>
                      <a:t>[ПРОЦЕНТ]</a:t>
                    </a:fld>
                    <a:endParaRPr lang="ru-RU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07939632545931"/>
                      <c:h val="0.2761259842519684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89DA-4729-B62B-2902DD23D235}"/>
                </c:ext>
              </c:extLst>
            </c:dLbl>
            <c:dLbl>
              <c:idx val="7"/>
              <c:layout>
                <c:manualLayout>
                  <c:x val="4.9583602234007956E-2"/>
                  <c:y val="-4.11023981500143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ru-RU"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0D77D4A-4C29-4632-BD1B-9D2BC80B85AE}" type="CATEGORYNAME">
                      <a:rPr lang="ru-RU"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lang="ru-RU" sz="1000">
                          <a:solidFill>
                            <a:sysClr val="windowText" lastClr="000000"/>
                          </a:solidFill>
                        </a:defRPr>
                      </a:pPr>
                      <a:t>[ИМЯ КАТЕГОРИИ]</a:t>
                    </a:fld>
                    <a:r>
                      <a:rPr lang="ru-RU"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rPr>
                      <a:t> </a:t>
                    </a:r>
                    <a:fld id="{7A7E0919-915C-48D6-97A7-539CAB59289E}" type="PERCENTAGE">
                      <a:rPr lang="ru-RU"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lang="ru-RU" sz="1000">
                          <a:solidFill>
                            <a:sysClr val="windowText" lastClr="000000"/>
                          </a:solidFill>
                        </a:defRPr>
                      </a:pPr>
                      <a:t>[ПРОЦЕНТ]</a:t>
                    </a:fld>
                    <a:endParaRPr lang="ru-RU"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ru-RU"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89DA-4729-B62B-2902DD23D2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'395'!$R$1:$R$8</c:f>
              <c:strCache>
                <c:ptCount val="8"/>
                <c:pt idx="0">
                  <c:v>Погрузка</c:v>
                </c:pt>
                <c:pt idx="1">
                  <c:v>Очистка зоны погрузки</c:v>
                </c:pt>
                <c:pt idx="2">
                  <c:v>Обработка уступа</c:v>
                </c:pt>
                <c:pt idx="3">
                  <c:v>Набор 1-го ковша</c:v>
                </c:pt>
                <c:pt idx="4">
                  <c:v>Подготовка уступа</c:v>
                </c:pt>
                <c:pt idx="5">
                  <c:v>Передвижение</c:v>
                </c:pt>
                <c:pt idx="6">
                  <c:v>Ожидание самосвала</c:v>
                </c:pt>
                <c:pt idx="7">
                  <c:v>Простой </c:v>
                </c:pt>
              </c:strCache>
            </c:strRef>
          </c:cat>
          <c:val>
            <c:numRef>
              <c:f>'395'!$S$1:$S$8</c:f>
              <c:numCache>
                <c:formatCode>0.0</c:formatCode>
                <c:ptCount val="8"/>
                <c:pt idx="0">
                  <c:v>52.708814028610853</c:v>
                </c:pt>
                <c:pt idx="1">
                  <c:v>0</c:v>
                </c:pt>
                <c:pt idx="2">
                  <c:v>2.8057221965850632</c:v>
                </c:pt>
                <c:pt idx="3">
                  <c:v>14.757729580064833</c:v>
                </c:pt>
                <c:pt idx="4">
                  <c:v>0</c:v>
                </c:pt>
                <c:pt idx="5">
                  <c:v>1.1536686663590989</c:v>
                </c:pt>
                <c:pt idx="6">
                  <c:v>13.724042455006707</c:v>
                </c:pt>
                <c:pt idx="7">
                  <c:v>14.85002307337345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DA-4729-B62B-2902DD23D235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72473</xdr:colOff>
      <xdr:row>1</xdr:row>
      <xdr:rowOff>133351</xdr:rowOff>
    </xdr:from>
    <xdr:to>
      <xdr:col>40</xdr:col>
      <xdr:colOff>346447</xdr:colOff>
      <xdr:row>12</xdr:row>
      <xdr:rowOff>298240</xdr:rowOff>
    </xdr:to>
    <xdr:graphicFrame macro="">
      <xdr:nvGraphicFramePr>
        <xdr:cNvPr id="2" name="Диаграмма 5">
          <a:extLst>
            <a:ext uri="{FF2B5EF4-FFF2-40B4-BE49-F238E27FC236}">
              <a16:creationId xmlns:a16="http://schemas.microsoft.com/office/drawing/2014/main" id="{64256989-B868-47A1-A304-D83BA8343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95250</xdr:colOff>
      <xdr:row>13</xdr:row>
      <xdr:rowOff>13050</xdr:rowOff>
    </xdr:from>
    <xdr:to>
      <xdr:col>40</xdr:col>
      <xdr:colOff>425823</xdr:colOff>
      <xdr:row>24</xdr:row>
      <xdr:rowOff>102697</xdr:rowOff>
    </xdr:to>
    <xdr:graphicFrame macro="">
      <xdr:nvGraphicFramePr>
        <xdr:cNvPr id="3" name="Диаграмма 6">
          <a:extLst>
            <a:ext uri="{FF2B5EF4-FFF2-40B4-BE49-F238E27FC236}">
              <a16:creationId xmlns:a16="http://schemas.microsoft.com/office/drawing/2014/main" id="{BB01CC9D-D89D-45ED-A87C-212C0A646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95250</xdr:colOff>
      <xdr:row>25</xdr:row>
      <xdr:rowOff>1844</xdr:rowOff>
    </xdr:from>
    <xdr:to>
      <xdr:col>40</xdr:col>
      <xdr:colOff>437029</xdr:colOff>
      <xdr:row>40</xdr:row>
      <xdr:rowOff>14806</xdr:rowOff>
    </xdr:to>
    <xdr:graphicFrame macro="">
      <xdr:nvGraphicFramePr>
        <xdr:cNvPr id="4" name="Диаграмма 8">
          <a:extLst>
            <a:ext uri="{FF2B5EF4-FFF2-40B4-BE49-F238E27FC236}">
              <a16:creationId xmlns:a16="http://schemas.microsoft.com/office/drawing/2014/main" id="{CD47D4DB-2602-4AF1-9BB8-D3B020622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141690</xdr:colOff>
      <xdr:row>0</xdr:row>
      <xdr:rowOff>67980</xdr:rowOff>
    </xdr:from>
    <xdr:to>
      <xdr:col>25</xdr:col>
      <xdr:colOff>420965</xdr:colOff>
      <xdr:row>13</xdr:row>
      <xdr:rowOff>218139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42685F7-F30D-46F2-9AE4-CCB781F84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0.44591</cdr:x>
      <cdr:y>0.7652</cdr:y>
    </cdr:from>
    <cdr:to>
      <cdr:x>0.74754</cdr:x>
      <cdr:y>0.85908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987008" y="1944018"/>
          <a:ext cx="2020519" cy="23851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 baseline="0">
              <a:latin typeface="Arial" pitchFamily="34" charset="0"/>
              <a:cs typeface="Arial" pitchFamily="34" charset="0"/>
            </a:rPr>
            <a:t>Среднее: 23</a:t>
          </a:r>
          <a:r>
            <a:rPr lang="en-US" sz="1100" b="1" baseline="0">
              <a:latin typeface="Arial" pitchFamily="34" charset="0"/>
              <a:cs typeface="Arial" pitchFamily="34" charset="0"/>
            </a:rPr>
            <a:t> </a:t>
          </a:r>
          <a:r>
            <a:rPr lang="ru-RU" sz="1100" b="1" baseline="0">
              <a:latin typeface="Arial" pitchFamily="34" charset="0"/>
              <a:cs typeface="Arial" pitchFamily="34" charset="0"/>
            </a:rPr>
            <a:t>секунды                               </a:t>
          </a:r>
          <a:endParaRPr lang="ru-RU" b="1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0.67881</cdr:x>
      <cdr:y>0.75954</cdr:y>
    </cdr:from>
    <cdr:to>
      <cdr:x>0.94836</cdr:x>
      <cdr:y>0.86603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362450" y="1949091"/>
          <a:ext cx="1732255" cy="27326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000" b="1" baseline="0">
              <a:latin typeface="Arial" pitchFamily="34" charset="0"/>
              <a:cs typeface="Arial" pitchFamily="34" charset="0"/>
            </a:rPr>
            <a:t>Среднее: </a:t>
          </a:r>
          <a:r>
            <a:rPr lang="en-US" sz="1000" b="1" baseline="0">
              <a:latin typeface="Arial" pitchFamily="34" charset="0"/>
              <a:cs typeface="Arial" pitchFamily="34" charset="0"/>
            </a:rPr>
            <a:t>6</a:t>
          </a:r>
          <a:r>
            <a:rPr lang="ru-RU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ковшей</a:t>
          </a:r>
          <a:endParaRPr lang="ru-RU" sz="1000" b="1">
            <a:effectLst/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0.68072</cdr:x>
      <cdr:y>0.67017</cdr:y>
    </cdr:from>
    <cdr:to>
      <cdr:x>0.91436</cdr:x>
      <cdr:y>0.795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82336" y="1636456"/>
          <a:ext cx="1504114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000" b="1" baseline="0">
              <a:latin typeface="Arial" pitchFamily="34" charset="0"/>
              <a:cs typeface="Arial" pitchFamily="34" charset="0"/>
            </a:rPr>
            <a:t>Среднее: </a:t>
          </a:r>
          <a:r>
            <a:rPr lang="en-US" sz="1000" b="1" baseline="0">
              <a:latin typeface="Arial" pitchFamily="34" charset="0"/>
              <a:cs typeface="Arial" pitchFamily="34" charset="0"/>
            </a:rPr>
            <a:t>2</a:t>
          </a:r>
          <a:r>
            <a:rPr lang="ru-RU" sz="1000" b="1" baseline="0">
              <a:latin typeface="Arial" pitchFamily="34" charset="0"/>
              <a:cs typeface="Arial" pitchFamily="34" charset="0"/>
            </a:rPr>
            <a:t>,</a:t>
          </a:r>
          <a:r>
            <a:rPr lang="en-US" sz="1000" b="1" baseline="0">
              <a:latin typeface="Arial" pitchFamily="34" charset="0"/>
              <a:cs typeface="Arial" pitchFamily="34" charset="0"/>
            </a:rPr>
            <a:t>65</a:t>
          </a:r>
          <a:r>
            <a:rPr lang="ru-RU" sz="1000" b="1" baseline="0">
              <a:latin typeface="Arial" pitchFamily="34" charset="0"/>
              <a:cs typeface="Arial" pitchFamily="34" charset="0"/>
            </a:rPr>
            <a:t> </a:t>
          </a:r>
          <a:r>
            <a:rPr lang="ru-RU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мин</a:t>
          </a:r>
          <a:endParaRPr lang="ru-RU" sz="1000">
            <a:effectLst/>
          </a:endParaRPr>
        </a:p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000" b="1" baseline="0">
              <a:latin typeface="Arial" pitchFamily="34" charset="0"/>
              <a:cs typeface="Arial" pitchFamily="34" charset="0"/>
            </a:rPr>
            <a:t>    </a:t>
          </a:r>
          <a:endParaRPr lang="ru-RU" sz="1000" b="1">
            <a:effectLst/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0.5091</cdr:x>
      <cdr:y>0.88905</cdr:y>
    </cdr:from>
    <cdr:to>
      <cdr:x>0.98471</cdr:x>
      <cdr:y>0.9854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2468" y="2730429"/>
          <a:ext cx="2403248" cy="295906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ru-RU" sz="1200" b="1" i="0" u="none">
              <a:latin typeface="+mn-lt"/>
              <a:cs typeface="Times New Roman" pitchFamily="18" charset="0"/>
            </a:rPr>
            <a:t>Эффективность работы 52,7%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7;&#1091;&#1085;&#1076;&#1091;&#1082;/&#1054;&#1058;&#1063;&#1045;&#1058;&#1067;%20OFR/&#1055;&#1077;&#1088;&#1084;&#1103;&#1082;&#1086;&#1074;&#1089;&#1082;&#1080;&#1081;/PC1250-7_VHMS%20Report_RU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ernikov_di/Desktop/WebKIRD%20&#1056;&#1072;&#1089;&#1095;&#1077;&#1090;%20&#1054;&#1057;&#1042;/&#1054;&#1040;&#1054;%20&#1050;&#1091;&#1079;&#1073;&#1072;&#1089;&#1089;&#1082;&#1072;&#1103;%20&#1090;&#1086;&#1087;&#1083;&#1080;&#1074;&#1085;&#1072;&#1103;%20&#1082;&#1086;&#1084;&#1087;&#1072;&#1085;&#1080;&#1103;/WebKIRD%20&#1086;&#1090;&#1095;&#1077;&#1090;/&#1053;&#1086;&#1074;&#1099;&#1077;%20&#1094;&#1077;&#1085;&#1099;/HD785-7/WebKIRD_Report%20form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G Graph"/>
      <sheetName val="HYD Graph"/>
      <sheetName val="Errors"/>
      <sheetName val="Data1"/>
      <sheetName val="MASTER"/>
      <sheetName val="PC1250-7_VHMS Report_RUS"/>
    </sheetNames>
    <sheetDataSet>
      <sheetData sheetId="0"/>
      <sheetData sheetId="1">
        <row r="48">
          <cell r="H48" t="str">
            <v>Стрела</v>
          </cell>
        </row>
      </sheetData>
      <sheetData sheetId="2"/>
      <sheetData sheetId="3">
        <row r="2">
          <cell r="A2" t="str">
            <v>Customer: STROYSERVICE (KUZBASS)</v>
          </cell>
        </row>
        <row r="11">
          <cell r="C11" t="str">
            <v>Calendar</v>
          </cell>
        </row>
        <row r="14">
          <cell r="C14">
            <v>41609.121898148151</v>
          </cell>
        </row>
        <row r="15">
          <cell r="C15">
            <v>41609.955208333333</v>
          </cell>
        </row>
        <row r="16">
          <cell r="C16">
            <v>41610.788518518515</v>
          </cell>
        </row>
        <row r="17">
          <cell r="C17">
            <v>41611.762488425928</v>
          </cell>
        </row>
        <row r="18">
          <cell r="C18">
            <v>41612.610960648148</v>
          </cell>
        </row>
        <row r="19">
          <cell r="C19">
            <v>41613.454386574071</v>
          </cell>
        </row>
        <row r="20">
          <cell r="C20">
            <v>41614.368483796294</v>
          </cell>
        </row>
        <row r="21">
          <cell r="C21">
            <v>41615.234710648147</v>
          </cell>
        </row>
        <row r="22">
          <cell r="C22">
            <v>41616.068020833336</v>
          </cell>
        </row>
        <row r="23">
          <cell r="C23">
            <v>41616.913321759261</v>
          </cell>
        </row>
        <row r="24">
          <cell r="C24">
            <v>41617.784594907411</v>
          </cell>
        </row>
        <row r="25">
          <cell r="C25">
            <v>41618.6641087963</v>
          </cell>
        </row>
        <row r="26">
          <cell r="C26">
            <v>41619.497418981482</v>
          </cell>
        </row>
        <row r="27">
          <cell r="C27">
            <v>41620.343831018516</v>
          </cell>
        </row>
        <row r="28">
          <cell r="C28">
            <v>41621.19840277778</v>
          </cell>
        </row>
        <row r="29">
          <cell r="C29">
            <v>41622.113819444443</v>
          </cell>
        </row>
        <row r="30">
          <cell r="C30">
            <v>41622.947129629632</v>
          </cell>
        </row>
        <row r="31">
          <cell r="C31">
            <v>41623.786030092589</v>
          </cell>
        </row>
        <row r="32">
          <cell r="C32">
            <v>41624.619340277779</v>
          </cell>
        </row>
        <row r="33">
          <cell r="C33">
            <v>41625.504641203705</v>
          </cell>
        </row>
        <row r="34">
          <cell r="C34">
            <v>41626.337951388887</v>
          </cell>
        </row>
        <row r="35">
          <cell r="C35">
            <v>41627.171261574076</v>
          </cell>
        </row>
        <row r="36">
          <cell r="C36">
            <v>41628.01116898148</v>
          </cell>
        </row>
        <row r="37">
          <cell r="C37">
            <v>41629.061666666668</v>
          </cell>
        </row>
        <row r="38">
          <cell r="C38">
            <v>41629.894976851851</v>
          </cell>
        </row>
        <row r="39">
          <cell r="C39">
            <v>41630.72828703704</v>
          </cell>
        </row>
        <row r="40">
          <cell r="C40">
            <v>41631.566701388889</v>
          </cell>
        </row>
        <row r="41">
          <cell r="C41">
            <v>41632.400011574071</v>
          </cell>
        </row>
        <row r="42">
          <cell r="C42">
            <v>41633.28802083333</v>
          </cell>
        </row>
        <row r="43">
          <cell r="C43">
            <v>41634.121331018519</v>
          </cell>
        </row>
        <row r="44">
          <cell r="C44">
            <v>41634.961701388886</v>
          </cell>
        </row>
        <row r="45">
          <cell r="C45">
            <v>41635.840474537035</v>
          </cell>
        </row>
        <row r="46">
          <cell r="C46">
            <v>41636.673773148148</v>
          </cell>
        </row>
        <row r="47">
          <cell r="C47">
            <v>41637.521377314813</v>
          </cell>
        </row>
        <row r="48">
          <cell r="C48">
            <v>41638.354687500003</v>
          </cell>
        </row>
        <row r="49">
          <cell r="C49">
            <v>41639.187997685185</v>
          </cell>
        </row>
        <row r="50">
          <cell r="C50">
            <v>41640.159548611111</v>
          </cell>
        </row>
        <row r="51">
          <cell r="C51">
            <v>41640.992858796293</v>
          </cell>
        </row>
        <row r="52">
          <cell r="C52">
            <v>41641.826168981483</v>
          </cell>
        </row>
        <row r="53">
          <cell r="C53">
            <v>41642.659479166665</v>
          </cell>
        </row>
        <row r="54">
          <cell r="C54">
            <v>41643.558171296296</v>
          </cell>
        </row>
        <row r="55">
          <cell r="C55">
            <v>41644.398541666669</v>
          </cell>
        </row>
        <row r="56">
          <cell r="C56">
            <v>41645.239293981482</v>
          </cell>
        </row>
        <row r="57">
          <cell r="C57">
            <v>41646.072615740741</v>
          </cell>
        </row>
        <row r="58">
          <cell r="C58">
            <v>41646.905914351853</v>
          </cell>
        </row>
        <row r="59">
          <cell r="C59">
            <v>41647.739224537036</v>
          </cell>
        </row>
        <row r="60">
          <cell r="C60">
            <v>41648.58021990741</v>
          </cell>
        </row>
        <row r="61">
          <cell r="C61">
            <v>41649.454641203702</v>
          </cell>
        </row>
        <row r="62">
          <cell r="C62">
            <v>41650.333136574074</v>
          </cell>
        </row>
        <row r="63">
          <cell r="C63">
            <v>41651.18886574074</v>
          </cell>
        </row>
        <row r="64">
          <cell r="C64">
            <v>41652.022175925929</v>
          </cell>
        </row>
        <row r="65">
          <cell r="C65">
            <v>41652.892118055555</v>
          </cell>
        </row>
        <row r="66">
          <cell r="C66">
            <v>41653.757418981484</v>
          </cell>
        </row>
        <row r="67">
          <cell r="C67">
            <v>41654.739594907405</v>
          </cell>
        </row>
        <row r="68">
          <cell r="C68">
            <v>41661.251817129632</v>
          </cell>
        </row>
        <row r="69">
          <cell r="C69">
            <v>41662.566840277781</v>
          </cell>
        </row>
        <row r="70">
          <cell r="C70">
            <v>41663.536724537036</v>
          </cell>
        </row>
        <row r="71">
          <cell r="C71">
            <v>41664.374780092592</v>
          </cell>
        </row>
        <row r="72">
          <cell r="C72">
            <v>41665.213842592595</v>
          </cell>
        </row>
        <row r="73">
          <cell r="C73">
            <v>41666.047152777777</v>
          </cell>
        </row>
        <row r="74">
          <cell r="C74">
            <v>41666.892951388887</v>
          </cell>
        </row>
        <row r="75">
          <cell r="C75">
            <v>41667.762453703705</v>
          </cell>
        </row>
      </sheetData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ual"/>
      <sheetName val="Terms"/>
      <sheetName val="Input DATA"/>
      <sheetName val="Титул"/>
      <sheetName val="Сод"/>
      <sheetName val="Report list"/>
      <sheetName val="Report list 2"/>
      <sheetName val="%"/>
      <sheetName val="Исх.дан."/>
      <sheetName val="Detail"/>
      <sheetName val="Detail1"/>
      <sheetName val="Detail2"/>
      <sheetName val="КрУ1"/>
      <sheetName val="КрУ2"/>
      <sheetName val="КрУ3"/>
      <sheetName val="КрУ4"/>
      <sheetName val="КрУ5"/>
      <sheetName val="КрУ6"/>
      <sheetName val="КУ1"/>
      <sheetName val="КУ2"/>
      <sheetName val="Г1"/>
      <sheetName val="Г2"/>
      <sheetName val="Г3"/>
      <sheetName val="Г4"/>
      <sheetName val="Г5"/>
      <sheetName val="Г6"/>
      <sheetName val="Г7"/>
      <sheetName val="Г8"/>
      <sheetName val="Ш1"/>
      <sheetName val="Ш2"/>
      <sheetName val="Ш3"/>
      <sheetName val="РО"/>
      <sheetName val="Пр1"/>
      <sheetName val="Пр2"/>
      <sheetName val="Пр3"/>
      <sheetName val="Пр4"/>
      <sheetName val="Пр5"/>
      <sheetName val="Пр6"/>
      <sheetName val="Пр7"/>
      <sheetName val="Пр8"/>
      <sheetName val="Пр9"/>
      <sheetName val="Пр10"/>
      <sheetName val="Х"/>
      <sheetName val="G"/>
      <sheetName val="Лист1"/>
    </sheetNames>
    <sheetDataSet>
      <sheetData sheetId="0"/>
      <sheetData sheetId="1"/>
      <sheetData sheetId="2">
        <row r="3">
          <cell r="I3">
            <v>0</v>
          </cell>
        </row>
        <row r="4">
          <cell r="I4">
            <v>0.20599264802279124</v>
          </cell>
        </row>
        <row r="5">
          <cell r="I5">
            <v>6.5695866467612815E-2</v>
          </cell>
        </row>
        <row r="6">
          <cell r="I6">
            <v>3.5097978105421736E-2</v>
          </cell>
        </row>
        <row r="7">
          <cell r="I7">
            <v>1</v>
          </cell>
        </row>
        <row r="14">
          <cell r="I14">
            <v>44176333.899999999</v>
          </cell>
        </row>
        <row r="15">
          <cell r="I15">
            <v>0</v>
          </cell>
        </row>
        <row r="16">
          <cell r="I16">
            <v>0</v>
          </cell>
        </row>
        <row r="17">
          <cell r="I17">
            <v>9100000</v>
          </cell>
        </row>
        <row r="18">
          <cell r="I18">
            <v>1550500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Component</v>
          </cell>
          <cell r="B1" t="str">
            <v>Item</v>
          </cell>
          <cell r="C1" t="str">
            <v>Use Reman</v>
          </cell>
          <cell r="D1" t="str">
            <v>Q'ty</v>
          </cell>
          <cell r="E1" t="str">
            <v>Current price</v>
          </cell>
          <cell r="F1" t="str">
            <v xml:space="preserve">Estimated Interval </v>
          </cell>
          <cell r="G1" t="str">
            <v>OV Times</v>
          </cell>
          <cell r="H1">
            <v>-7000</v>
          </cell>
          <cell r="I1">
            <v>-14000</v>
          </cell>
          <cell r="J1">
            <v>-21000</v>
          </cell>
          <cell r="K1">
            <v>-28000</v>
          </cell>
          <cell r="L1">
            <v>-35000</v>
          </cell>
          <cell r="M1">
            <v>-42000</v>
          </cell>
          <cell r="N1">
            <v>-49000</v>
          </cell>
          <cell r="O1">
            <v>-56000</v>
          </cell>
          <cell r="P1">
            <v>-63000</v>
          </cell>
          <cell r="Q1">
            <v>-70000</v>
          </cell>
          <cell r="R1">
            <v>-77000</v>
          </cell>
          <cell r="S1">
            <v>-84000</v>
          </cell>
          <cell r="T1" t="str">
            <v>TOTAL</v>
          </cell>
          <cell r="U1" t="str">
            <v>Item Code</v>
          </cell>
        </row>
        <row r="2">
          <cell r="A2" t="str">
            <v>Power Train Major</v>
          </cell>
          <cell r="B2" t="str">
            <v>ENGINE ASSY</v>
          </cell>
          <cell r="C2" t="str">
            <v>Yes</v>
          </cell>
          <cell r="D2">
            <v>1</v>
          </cell>
          <cell r="E2">
            <v>8181886.9800000004</v>
          </cell>
          <cell r="F2">
            <v>21000</v>
          </cell>
          <cell r="G2">
            <v>4</v>
          </cell>
          <cell r="J2">
            <v>8181886.9900000002</v>
          </cell>
          <cell r="M2">
            <v>8181886.9900000002</v>
          </cell>
          <cell r="O2">
            <v>8181886.9900000002</v>
          </cell>
          <cell r="R2">
            <v>8181886.9900000002</v>
          </cell>
          <cell r="T2">
            <v>32727547.960000001</v>
          </cell>
          <cell r="U2" t="str">
            <v>E1.A000.ASY.CC.0.CC</v>
          </cell>
        </row>
        <row r="3">
          <cell r="B3" t="str">
            <v>TORQUE CONVERTER</v>
          </cell>
          <cell r="C3" t="str">
            <v>Yes</v>
          </cell>
          <cell r="D3">
            <v>1</v>
          </cell>
          <cell r="E3">
            <v>1808043.73</v>
          </cell>
          <cell r="F3">
            <v>32000</v>
          </cell>
          <cell r="G3">
            <v>2</v>
          </cell>
          <cell r="L3">
            <v>1808043.74</v>
          </cell>
          <cell r="P3">
            <v>1808043.74</v>
          </cell>
          <cell r="T3">
            <v>3616087.48</v>
          </cell>
          <cell r="U3" t="str">
            <v>H1.1300.0.CC.0.CC</v>
          </cell>
          <cell r="BA3">
            <v>61408229.009999998</v>
          </cell>
        </row>
        <row r="4">
          <cell r="B4" t="str">
            <v>TRANSMISSION ASSY</v>
          </cell>
          <cell r="C4" t="str">
            <v>Yes</v>
          </cell>
          <cell r="D4">
            <v>1</v>
          </cell>
          <cell r="E4">
            <v>6430476.0999999996</v>
          </cell>
          <cell r="F4">
            <v>32000</v>
          </cell>
          <cell r="G4">
            <v>2</v>
          </cell>
          <cell r="L4">
            <v>6430476.1100000003</v>
          </cell>
          <cell r="P4">
            <v>6430476.1100000003</v>
          </cell>
          <cell r="T4">
            <v>12860952.220000001</v>
          </cell>
          <cell r="U4" t="str">
            <v>H1.1500.0.CC.0.CC</v>
          </cell>
          <cell r="BA4">
            <v>3867758.4000000004</v>
          </cell>
        </row>
        <row r="5">
          <cell r="B5" t="str">
            <v>PROPELLER SHAFT-FRONT</v>
          </cell>
          <cell r="D5">
            <v>1</v>
          </cell>
          <cell r="E5">
            <v>107499.38</v>
          </cell>
          <cell r="F5">
            <v>36000</v>
          </cell>
          <cell r="G5">
            <v>2</v>
          </cell>
          <cell r="M5">
            <v>107499.38</v>
          </cell>
          <cell r="R5">
            <v>107499.38</v>
          </cell>
          <cell r="T5">
            <v>214998.76</v>
          </cell>
          <cell r="U5" t="str">
            <v>H1.2000.FR.CC.0.CC</v>
          </cell>
          <cell r="BA5">
            <v>5688427.6300000008</v>
          </cell>
        </row>
        <row r="6">
          <cell r="B6" t="str">
            <v>PROPELLER SHAFT-REAR</v>
          </cell>
          <cell r="D6">
            <v>1</v>
          </cell>
          <cell r="E6">
            <v>448848.63</v>
          </cell>
          <cell r="F6">
            <v>36000</v>
          </cell>
          <cell r="G6">
            <v>2</v>
          </cell>
          <cell r="M6">
            <v>448848.63</v>
          </cell>
          <cell r="R6">
            <v>448848.63</v>
          </cell>
          <cell r="T6">
            <v>897697.26</v>
          </cell>
          <cell r="U6" t="str">
            <v>H1.2000.RR.CC.0.CC</v>
          </cell>
          <cell r="BA6">
            <v>4275531.2300000004</v>
          </cell>
        </row>
        <row r="7">
          <cell r="B7" t="str">
            <v>FRONT AXLE BRAKE (L)</v>
          </cell>
          <cell r="D7">
            <v>1</v>
          </cell>
          <cell r="E7">
            <v>1062300.1100000001</v>
          </cell>
          <cell r="F7">
            <v>44000</v>
          </cell>
          <cell r="G7">
            <v>1</v>
          </cell>
          <cell r="N7">
            <v>1062300.1100000001</v>
          </cell>
          <cell r="T7">
            <v>1062300.1100000001</v>
          </cell>
          <cell r="U7" t="str">
            <v>H1.2AA2.LH.CC.0.CC</v>
          </cell>
          <cell r="BA7">
            <v>98338.13</v>
          </cell>
        </row>
        <row r="8">
          <cell r="B8" t="str">
            <v>FRONT AXLE BRAKE (R)</v>
          </cell>
          <cell r="D8">
            <v>1</v>
          </cell>
          <cell r="E8">
            <v>1062710.58</v>
          </cell>
          <cell r="F8">
            <v>44000</v>
          </cell>
          <cell r="G8">
            <v>1</v>
          </cell>
          <cell r="N8">
            <v>1062710.58</v>
          </cell>
          <cell r="T8">
            <v>1062710.58</v>
          </cell>
          <cell r="U8" t="str">
            <v>H1.2AA2.RH.CC.0.CC</v>
          </cell>
          <cell r="BA8">
            <v>18540006.570000004</v>
          </cell>
        </row>
        <row r="9">
          <cell r="B9" t="str">
            <v>REAR AXLE HOUSING</v>
          </cell>
          <cell r="D9">
            <v>1</v>
          </cell>
          <cell r="E9">
            <v>432448.03</v>
          </cell>
          <cell r="F9">
            <v>44000</v>
          </cell>
          <cell r="G9">
            <v>1</v>
          </cell>
          <cell r="N9">
            <v>432448.03</v>
          </cell>
          <cell r="T9">
            <v>432448.03</v>
          </cell>
          <cell r="U9" t="str">
            <v>H1.2B00.N02.CC.0.CC</v>
          </cell>
          <cell r="BA9">
            <v>3754684.21</v>
          </cell>
        </row>
        <row r="10">
          <cell r="B10" t="str">
            <v>REAR FINAL BRAKE</v>
          </cell>
          <cell r="D10">
            <v>1</v>
          </cell>
          <cell r="E10">
            <v>1699696.79</v>
          </cell>
          <cell r="F10">
            <v>44000</v>
          </cell>
          <cell r="G10">
            <v>1</v>
          </cell>
          <cell r="N10">
            <v>1699696.81</v>
          </cell>
          <cell r="T10">
            <v>1699696.81</v>
          </cell>
          <cell r="U10" t="str">
            <v>H1.2E00.N01.CC.0.CC</v>
          </cell>
          <cell r="BA10"/>
        </row>
        <row r="11">
          <cell r="B11" t="str">
            <v>DIFFERENTIAL-REAR</v>
          </cell>
          <cell r="C11" t="str">
            <v>Yes</v>
          </cell>
          <cell r="D11">
            <v>1</v>
          </cell>
          <cell r="E11">
            <v>2637774.6</v>
          </cell>
          <cell r="F11">
            <v>30000</v>
          </cell>
          <cell r="G11">
            <v>2</v>
          </cell>
          <cell r="L11">
            <v>2637774.6</v>
          </cell>
          <cell r="O11">
            <v>2637774.6</v>
          </cell>
          <cell r="T11">
            <v>5275549.2</v>
          </cell>
          <cell r="U11" t="str">
            <v>H1.2J10.RR.CC.0.CC</v>
          </cell>
        </row>
        <row r="12">
          <cell r="B12" t="str">
            <v>FINAL DRIVE ASSY-REAR</v>
          </cell>
          <cell r="D12">
            <v>1</v>
          </cell>
          <cell r="E12">
            <v>1558240.6</v>
          </cell>
          <cell r="F12">
            <v>44000</v>
          </cell>
          <cell r="G12">
            <v>1</v>
          </cell>
          <cell r="N12">
            <v>1558240.6</v>
          </cell>
          <cell r="T12">
            <v>1558240.6</v>
          </cell>
          <cell r="U12" t="str">
            <v>H1.K@02.0.CC.0.CC</v>
          </cell>
        </row>
        <row r="13">
          <cell r="B13" t="str">
            <v>Cumulative Cost</v>
          </cell>
          <cell r="H13">
            <v>0</v>
          </cell>
          <cell r="I13">
            <v>0</v>
          </cell>
          <cell r="J13">
            <v>8181886.9900000002</v>
          </cell>
          <cell r="K13">
            <v>8181886.9900000002</v>
          </cell>
          <cell r="L13">
            <v>19058181.440000001</v>
          </cell>
          <cell r="M13">
            <v>27796416.440000001</v>
          </cell>
          <cell r="N13">
            <v>33611812.57</v>
          </cell>
          <cell r="O13">
            <v>44431474.159999996</v>
          </cell>
          <cell r="P13">
            <v>52669994.009999998</v>
          </cell>
          <cell r="Q13">
            <v>52669994.009999998</v>
          </cell>
          <cell r="R13">
            <v>61408229.009999998</v>
          </cell>
          <cell r="S13">
            <v>61408229.009999998</v>
          </cell>
          <cell r="T13">
            <v>61408229.009999998</v>
          </cell>
        </row>
        <row r="14">
          <cell r="B14" t="str">
            <v>Hourly Rate by period</v>
          </cell>
          <cell r="H14">
            <v>0</v>
          </cell>
          <cell r="I14">
            <v>0</v>
          </cell>
          <cell r="J14">
            <v>1168.8399999999999</v>
          </cell>
          <cell r="K14">
            <v>0</v>
          </cell>
          <cell r="L14">
            <v>1553.76</v>
          </cell>
          <cell r="M14">
            <v>1248.32</v>
          </cell>
          <cell r="N14">
            <v>830.77</v>
          </cell>
          <cell r="O14">
            <v>1545.67</v>
          </cell>
          <cell r="P14">
            <v>1176.93</v>
          </cell>
          <cell r="Q14">
            <v>0</v>
          </cell>
          <cell r="R14">
            <v>1248.32</v>
          </cell>
          <cell r="S14">
            <v>0</v>
          </cell>
        </row>
        <row r="15">
          <cell r="B15" t="str">
            <v>Cumulative Hourly Rate</v>
          </cell>
          <cell r="H15">
            <v>0</v>
          </cell>
          <cell r="I15">
            <v>0</v>
          </cell>
          <cell r="J15">
            <v>389.61</v>
          </cell>
          <cell r="K15">
            <v>292.20999999999998</v>
          </cell>
          <cell r="L15">
            <v>544.52</v>
          </cell>
          <cell r="M15">
            <v>661.82</v>
          </cell>
          <cell r="N15">
            <v>685.96</v>
          </cell>
          <cell r="O15">
            <v>793.42</v>
          </cell>
          <cell r="P15">
            <v>836.03</v>
          </cell>
          <cell r="Q15">
            <v>752.43</v>
          </cell>
          <cell r="R15">
            <v>797.51</v>
          </cell>
          <cell r="S15">
            <v>731.05</v>
          </cell>
          <cell r="T15">
            <v>731.05</v>
          </cell>
        </row>
        <row r="16">
          <cell r="A16" t="str">
            <v>Power Train Minor</v>
          </cell>
          <cell r="B16" t="str">
            <v>FUEL INJECTOR</v>
          </cell>
          <cell r="D16">
            <v>12</v>
          </cell>
          <cell r="E16">
            <v>405067.75</v>
          </cell>
          <cell r="F16">
            <v>10500</v>
          </cell>
          <cell r="G16">
            <v>4</v>
          </cell>
          <cell r="I16">
            <v>405067.75</v>
          </cell>
          <cell r="L16">
            <v>405067.75</v>
          </cell>
          <cell r="O16">
            <v>405067.75</v>
          </cell>
          <cell r="R16">
            <v>405067.75</v>
          </cell>
          <cell r="T16">
            <v>1620271</v>
          </cell>
          <cell r="U16" t="str">
            <v>E2.A1L0.N01.CC.0.CC</v>
          </cell>
        </row>
        <row r="17">
          <cell r="B17" t="str">
            <v>WATER PUMP</v>
          </cell>
          <cell r="D17">
            <v>1</v>
          </cell>
          <cell r="E17">
            <v>32602.6</v>
          </cell>
          <cell r="F17">
            <v>10500</v>
          </cell>
          <cell r="G17">
            <v>4</v>
          </cell>
          <cell r="I17">
            <v>32602.61</v>
          </cell>
          <cell r="L17">
            <v>32602.61</v>
          </cell>
          <cell r="O17">
            <v>32602.61</v>
          </cell>
          <cell r="R17">
            <v>32602.61</v>
          </cell>
          <cell r="T17">
            <v>130410.44</v>
          </cell>
          <cell r="U17" t="str">
            <v>E2.A600.N02.CC.0.CC</v>
          </cell>
        </row>
        <row r="18">
          <cell r="B18" t="str">
            <v>TURBOCHARGER (L)</v>
          </cell>
          <cell r="D18">
            <v>1</v>
          </cell>
          <cell r="E18">
            <v>153102.5</v>
          </cell>
          <cell r="F18">
            <v>10500</v>
          </cell>
          <cell r="G18">
            <v>4</v>
          </cell>
          <cell r="I18">
            <v>153102.51</v>
          </cell>
          <cell r="L18">
            <v>153102.51</v>
          </cell>
          <cell r="O18">
            <v>153102.51</v>
          </cell>
          <cell r="R18">
            <v>153102.51</v>
          </cell>
          <cell r="T18">
            <v>612410.04</v>
          </cell>
          <cell r="U18" t="str">
            <v>E2.A900.LH.CC.0.CC</v>
          </cell>
        </row>
        <row r="19">
          <cell r="B19" t="str">
            <v>TURBOCHARGER (R)</v>
          </cell>
          <cell r="D19">
            <v>1</v>
          </cell>
          <cell r="E19">
            <v>152598.41</v>
          </cell>
          <cell r="F19">
            <v>10500</v>
          </cell>
          <cell r="G19">
            <v>4</v>
          </cell>
          <cell r="I19">
            <v>152598.42000000001</v>
          </cell>
          <cell r="L19">
            <v>152598.42000000001</v>
          </cell>
          <cell r="O19">
            <v>152598.42000000001</v>
          </cell>
          <cell r="R19">
            <v>152598.42000000001</v>
          </cell>
          <cell r="T19">
            <v>610393.68000000005</v>
          </cell>
          <cell r="U19" t="str">
            <v>E2.A900.RH.CC.0.CC</v>
          </cell>
        </row>
        <row r="20">
          <cell r="B20" t="str">
            <v>DAMPER</v>
          </cell>
          <cell r="D20">
            <v>1</v>
          </cell>
          <cell r="E20">
            <v>149045.54</v>
          </cell>
          <cell r="F20">
            <v>12000</v>
          </cell>
          <cell r="G20">
            <v>6</v>
          </cell>
          <cell r="I20">
            <v>149045.54</v>
          </cell>
          <cell r="K20">
            <v>149045.54</v>
          </cell>
          <cell r="M20">
            <v>149045.54</v>
          </cell>
          <cell r="N20">
            <v>149045.54</v>
          </cell>
          <cell r="P20">
            <v>149045.54</v>
          </cell>
          <cell r="R20">
            <v>149045.54</v>
          </cell>
          <cell r="T20">
            <v>894273.24</v>
          </cell>
          <cell r="U20" t="str">
            <v>H2.A3C0.0.CC.0.CC</v>
          </cell>
        </row>
        <row r="21">
          <cell r="B21" t="str">
            <v>Cumulative Cost</v>
          </cell>
          <cell r="H21">
            <v>0</v>
          </cell>
          <cell r="I21">
            <v>892416.83000000007</v>
          </cell>
          <cell r="J21">
            <v>892416.83000000007</v>
          </cell>
          <cell r="K21">
            <v>1041462.3700000001</v>
          </cell>
          <cell r="L21">
            <v>1784833.6600000001</v>
          </cell>
          <cell r="M21">
            <v>1933879.2000000002</v>
          </cell>
          <cell r="N21">
            <v>2082924.7400000002</v>
          </cell>
          <cell r="O21">
            <v>2826296.0300000003</v>
          </cell>
          <cell r="P21">
            <v>2975341.5700000003</v>
          </cell>
          <cell r="Q21">
            <v>2975341.5700000003</v>
          </cell>
          <cell r="R21">
            <v>3867758.4000000004</v>
          </cell>
          <cell r="S21">
            <v>3867758.4000000004</v>
          </cell>
          <cell r="T21">
            <v>3867758.4000000004</v>
          </cell>
        </row>
        <row r="22">
          <cell r="B22" t="str">
            <v>Hourly Rate by period</v>
          </cell>
          <cell r="H22">
            <v>0</v>
          </cell>
          <cell r="I22">
            <v>127.49</v>
          </cell>
          <cell r="J22">
            <v>0</v>
          </cell>
          <cell r="K22">
            <v>21.29</v>
          </cell>
          <cell r="L22">
            <v>106.2</v>
          </cell>
          <cell r="M22">
            <v>21.29</v>
          </cell>
          <cell r="N22">
            <v>21.29</v>
          </cell>
          <cell r="O22">
            <v>106.2</v>
          </cell>
          <cell r="P22">
            <v>21.29</v>
          </cell>
          <cell r="Q22">
            <v>0</v>
          </cell>
          <cell r="R22">
            <v>127.49</v>
          </cell>
          <cell r="S22">
            <v>0</v>
          </cell>
        </row>
        <row r="23">
          <cell r="B23" t="str">
            <v>Cumulative Hourly Rate</v>
          </cell>
          <cell r="H23">
            <v>0</v>
          </cell>
          <cell r="I23">
            <v>63.74</v>
          </cell>
          <cell r="J23">
            <v>42.5</v>
          </cell>
          <cell r="K23">
            <v>37.200000000000003</v>
          </cell>
          <cell r="L23">
            <v>51</v>
          </cell>
          <cell r="M23">
            <v>46.04</v>
          </cell>
          <cell r="N23">
            <v>42.51</v>
          </cell>
          <cell r="O23">
            <v>50.47</v>
          </cell>
          <cell r="P23">
            <v>47.23</v>
          </cell>
          <cell r="Q23">
            <v>42.5</v>
          </cell>
          <cell r="R23">
            <v>50.23</v>
          </cell>
          <cell r="S23">
            <v>46.04</v>
          </cell>
          <cell r="T23">
            <v>46.04</v>
          </cell>
        </row>
        <row r="24">
          <cell r="A24" t="str">
            <v>Hydraulics</v>
          </cell>
          <cell r="B24" t="str">
            <v>HYD PUMP-T/C &amp; T/M</v>
          </cell>
          <cell r="D24">
            <v>1</v>
          </cell>
          <cell r="E24">
            <v>242908.69</v>
          </cell>
          <cell r="F24">
            <v>36000</v>
          </cell>
          <cell r="G24">
            <v>2</v>
          </cell>
          <cell r="M24">
            <v>242908.7</v>
          </cell>
          <cell r="R24">
            <v>242908.7</v>
          </cell>
          <cell r="T24">
            <v>485817.4</v>
          </cell>
          <cell r="U24" t="str">
            <v>H3.1560.N03.CC.0.CC</v>
          </cell>
        </row>
        <row r="25">
          <cell r="B25" t="str">
            <v>ACCUMULATOR PIPING</v>
          </cell>
          <cell r="D25">
            <v>1</v>
          </cell>
          <cell r="E25">
            <v>29481.93</v>
          </cell>
          <cell r="F25">
            <v>21000</v>
          </cell>
          <cell r="G25">
            <v>3</v>
          </cell>
          <cell r="J25">
            <v>29481.93</v>
          </cell>
          <cell r="M25">
            <v>29481.93</v>
          </cell>
          <cell r="P25">
            <v>29481.93</v>
          </cell>
          <cell r="T25">
            <v>88445.79</v>
          </cell>
          <cell r="U25" t="str">
            <v>H3.6030.ACC.CC.0.CC</v>
          </cell>
        </row>
        <row r="26">
          <cell r="B26" t="str">
            <v>HYD TANK &amp; VALVE &amp; PIPING</v>
          </cell>
          <cell r="D26">
            <v>1</v>
          </cell>
          <cell r="E26">
            <v>145120.49</v>
          </cell>
          <cell r="F26">
            <v>21000</v>
          </cell>
          <cell r="G26">
            <v>3</v>
          </cell>
          <cell r="J26">
            <v>145120.49</v>
          </cell>
          <cell r="M26">
            <v>145120.49</v>
          </cell>
          <cell r="P26">
            <v>145120.49</v>
          </cell>
          <cell r="T26">
            <v>435361.47</v>
          </cell>
          <cell r="U26" t="str">
            <v>H3.6A50.0.CC.0.CC</v>
          </cell>
        </row>
        <row r="27">
          <cell r="B27" t="str">
            <v>HOIST CYLINDER</v>
          </cell>
          <cell r="D27">
            <v>2</v>
          </cell>
          <cell r="E27">
            <v>327902.25</v>
          </cell>
          <cell r="F27">
            <v>21000</v>
          </cell>
          <cell r="G27">
            <v>3</v>
          </cell>
          <cell r="J27">
            <v>327902.26</v>
          </cell>
          <cell r="M27">
            <v>327902.26</v>
          </cell>
          <cell r="P27">
            <v>327902.26</v>
          </cell>
          <cell r="T27">
            <v>983706.78</v>
          </cell>
          <cell r="U27" t="str">
            <v>H3.H1J0.0.CC.0.CC</v>
          </cell>
        </row>
        <row r="28">
          <cell r="B28" t="str">
            <v>STEERING CYLINDER</v>
          </cell>
          <cell r="D28">
            <v>2</v>
          </cell>
          <cell r="E28">
            <v>152771.79999999999</v>
          </cell>
          <cell r="F28">
            <v>21000</v>
          </cell>
          <cell r="G28">
            <v>3</v>
          </cell>
          <cell r="J28">
            <v>152771.79999999999</v>
          </cell>
          <cell r="M28">
            <v>152771.79999999999</v>
          </cell>
          <cell r="P28">
            <v>152771.79999999999</v>
          </cell>
          <cell r="T28">
            <v>458315.4</v>
          </cell>
          <cell r="U28" t="str">
            <v>H3.H1X0.0.CC.0.CC</v>
          </cell>
        </row>
        <row r="29">
          <cell r="B29" t="str">
            <v xml:space="preserve">PUMP- STEERING  </v>
          </cell>
          <cell r="D29">
            <v>1</v>
          </cell>
          <cell r="E29">
            <v>493512.91</v>
          </cell>
          <cell r="F29">
            <v>36000</v>
          </cell>
          <cell r="G29">
            <v>2</v>
          </cell>
          <cell r="M29">
            <v>493512.91</v>
          </cell>
          <cell r="R29">
            <v>493512.91</v>
          </cell>
          <cell r="T29">
            <v>987025.82</v>
          </cell>
          <cell r="U29" t="str">
            <v>H3.J140.N01.CC.0.CC</v>
          </cell>
        </row>
        <row r="30">
          <cell r="B30" t="str">
            <v>HYD PUMP- EMERGENCY S/T</v>
          </cell>
          <cell r="D30">
            <v>1</v>
          </cell>
          <cell r="E30">
            <v>78042.11</v>
          </cell>
          <cell r="F30">
            <v>21000</v>
          </cell>
          <cell r="G30">
            <v>3</v>
          </cell>
          <cell r="J30">
            <v>78042.11</v>
          </cell>
          <cell r="M30">
            <v>78042.11</v>
          </cell>
          <cell r="P30">
            <v>78042.11</v>
          </cell>
          <cell r="T30">
            <v>234126.33</v>
          </cell>
          <cell r="U30" t="str">
            <v>H3.J1B0.0.CC.0.CC</v>
          </cell>
        </row>
        <row r="31">
          <cell r="B31" t="str">
            <v>PUMP ASSY- BRAKE COOLING FRONT</v>
          </cell>
          <cell r="D31">
            <v>1</v>
          </cell>
          <cell r="E31">
            <v>158373.14000000001</v>
          </cell>
          <cell r="F31">
            <v>21000</v>
          </cell>
          <cell r="G31">
            <v>3</v>
          </cell>
          <cell r="J31">
            <v>158373.14000000001</v>
          </cell>
          <cell r="M31">
            <v>158373.14000000001</v>
          </cell>
          <cell r="P31">
            <v>158373.14000000001</v>
          </cell>
          <cell r="T31">
            <v>475119.42</v>
          </cell>
          <cell r="U31" t="str">
            <v>H3.J1J0.FR.CC.0.CC</v>
          </cell>
        </row>
        <row r="32">
          <cell r="B32" t="str">
            <v>PUMP ASSY-BRAKE COOLING</v>
          </cell>
          <cell r="D32">
            <v>1</v>
          </cell>
          <cell r="E32">
            <v>478149.53</v>
          </cell>
          <cell r="F32">
            <v>36000</v>
          </cell>
          <cell r="G32">
            <v>2</v>
          </cell>
          <cell r="M32">
            <v>478149.53</v>
          </cell>
          <cell r="R32">
            <v>478149.53</v>
          </cell>
          <cell r="T32">
            <v>956299.06</v>
          </cell>
          <cell r="U32" t="str">
            <v>H3.J1J0.N01.CC.0.CC</v>
          </cell>
        </row>
        <row r="33">
          <cell r="B33" t="str">
            <v>PUMP ASSY- BRAKE COOLING REAR</v>
          </cell>
          <cell r="D33">
            <v>1</v>
          </cell>
          <cell r="E33">
            <v>61909.48</v>
          </cell>
          <cell r="F33">
            <v>21000</v>
          </cell>
          <cell r="G33">
            <v>3</v>
          </cell>
          <cell r="J33">
            <v>61909.48</v>
          </cell>
          <cell r="M33">
            <v>61909.48</v>
          </cell>
          <cell r="P33">
            <v>61909.48</v>
          </cell>
          <cell r="T33">
            <v>185728.44</v>
          </cell>
          <cell r="U33" t="str">
            <v>H3.J1J0.RR.CC.0.CC</v>
          </cell>
        </row>
        <row r="34">
          <cell r="B34" t="str">
            <v>BRAKE COOLING OIL LINE</v>
          </cell>
          <cell r="D34">
            <v>1</v>
          </cell>
          <cell r="E34">
            <v>132827.24</v>
          </cell>
          <cell r="F34">
            <v>21000</v>
          </cell>
          <cell r="G34">
            <v>3</v>
          </cell>
          <cell r="J34">
            <v>132827.24</v>
          </cell>
          <cell r="M34">
            <v>132827.24</v>
          </cell>
          <cell r="P34">
            <v>132827.24</v>
          </cell>
          <cell r="T34">
            <v>398481.72</v>
          </cell>
          <cell r="U34" t="str">
            <v>H3.K@AB.N02.CC.0.CC</v>
          </cell>
        </row>
        <row r="35">
          <cell r="B35" t="str">
            <v>Cumulative Cost</v>
          </cell>
          <cell r="H35">
            <v>0</v>
          </cell>
          <cell r="I35">
            <v>0</v>
          </cell>
          <cell r="J35">
            <v>1086428.45</v>
          </cell>
          <cell r="K35">
            <v>1086428.45</v>
          </cell>
          <cell r="L35">
            <v>1086428.45</v>
          </cell>
          <cell r="M35">
            <v>3387428.04</v>
          </cell>
          <cell r="N35">
            <v>3387428.04</v>
          </cell>
          <cell r="O35">
            <v>3387428.04</v>
          </cell>
          <cell r="P35">
            <v>4473856.49</v>
          </cell>
          <cell r="Q35">
            <v>4473856.49</v>
          </cell>
          <cell r="R35">
            <v>5688427.6300000008</v>
          </cell>
          <cell r="S35">
            <v>5688427.6300000008</v>
          </cell>
          <cell r="T35">
            <v>5688427.6300000008</v>
          </cell>
        </row>
        <row r="36">
          <cell r="B36" t="str">
            <v>Hourly Rate by period</v>
          </cell>
          <cell r="H36">
            <v>0</v>
          </cell>
          <cell r="I36">
            <v>0</v>
          </cell>
          <cell r="J36">
            <v>155.19999999999999</v>
          </cell>
          <cell r="K36">
            <v>0</v>
          </cell>
          <cell r="L36">
            <v>0</v>
          </cell>
          <cell r="M36">
            <v>328.71</v>
          </cell>
          <cell r="N36">
            <v>0</v>
          </cell>
          <cell r="O36">
            <v>0</v>
          </cell>
          <cell r="P36">
            <v>155.19999999999999</v>
          </cell>
          <cell r="Q36">
            <v>0</v>
          </cell>
          <cell r="R36">
            <v>173.51</v>
          </cell>
          <cell r="S36">
            <v>0</v>
          </cell>
        </row>
        <row r="37">
          <cell r="B37" t="str">
            <v>Cumulative Hourly Rate</v>
          </cell>
          <cell r="H37">
            <v>0</v>
          </cell>
          <cell r="I37">
            <v>0</v>
          </cell>
          <cell r="J37">
            <v>51.73</v>
          </cell>
          <cell r="K37">
            <v>38.799999999999997</v>
          </cell>
          <cell r="L37">
            <v>31.04</v>
          </cell>
          <cell r="M37">
            <v>80.650000000000006</v>
          </cell>
          <cell r="N37">
            <v>69.13</v>
          </cell>
          <cell r="O37">
            <v>60.49</v>
          </cell>
          <cell r="P37">
            <v>71.010000000000005</v>
          </cell>
          <cell r="Q37">
            <v>63.91</v>
          </cell>
          <cell r="R37">
            <v>73.88</v>
          </cell>
          <cell r="S37">
            <v>67.72</v>
          </cell>
          <cell r="T37">
            <v>67.72</v>
          </cell>
        </row>
        <row r="38">
          <cell r="A38" t="str">
            <v>Chassis</v>
          </cell>
          <cell r="B38" t="str">
            <v>MAIN FRAME &amp; HITCH FRAME</v>
          </cell>
          <cell r="D38">
            <v>1</v>
          </cell>
          <cell r="E38">
            <v>400195.99</v>
          </cell>
          <cell r="F38">
            <v>21000</v>
          </cell>
          <cell r="G38">
            <v>3</v>
          </cell>
          <cell r="J38">
            <v>400195.99</v>
          </cell>
          <cell r="M38">
            <v>400195.99</v>
          </cell>
          <cell r="P38">
            <v>400195.99</v>
          </cell>
          <cell r="T38">
            <v>1200587.97</v>
          </cell>
          <cell r="U38" t="str">
            <v>H4.4710.0.CC.0.CC</v>
          </cell>
        </row>
        <row r="39">
          <cell r="B39" t="str">
            <v>SUSPENSION ASSY-REAR</v>
          </cell>
          <cell r="D39">
            <v>2</v>
          </cell>
          <cell r="E39">
            <v>464094.52</v>
          </cell>
          <cell r="F39">
            <v>30000</v>
          </cell>
          <cell r="G39">
            <v>2</v>
          </cell>
          <cell r="L39">
            <v>464094.53</v>
          </cell>
          <cell r="P39">
            <v>464094.53</v>
          </cell>
          <cell r="T39">
            <v>928189.06</v>
          </cell>
          <cell r="U39" t="str">
            <v>H4.5A00.RR.CC.0.CC</v>
          </cell>
        </row>
        <row r="40">
          <cell r="B40" t="str">
            <v>FRONT SUSPENSION ASSY (L)</v>
          </cell>
          <cell r="D40">
            <v>1</v>
          </cell>
          <cell r="E40">
            <v>536688.54</v>
          </cell>
          <cell r="F40">
            <v>30000</v>
          </cell>
          <cell r="G40">
            <v>2</v>
          </cell>
          <cell r="L40">
            <v>536688.55000000005</v>
          </cell>
          <cell r="P40">
            <v>536688.55000000005</v>
          </cell>
          <cell r="T40">
            <v>1073377.1000000001</v>
          </cell>
          <cell r="U40" t="str">
            <v>H4.5A30.LH.CC.0.CC</v>
          </cell>
        </row>
        <row r="41">
          <cell r="B41" t="str">
            <v>FRONT SUSPENSION ASSY (R)</v>
          </cell>
          <cell r="D41">
            <v>1</v>
          </cell>
          <cell r="E41">
            <v>536688.54</v>
          </cell>
          <cell r="F41">
            <v>30000</v>
          </cell>
          <cell r="G41">
            <v>2</v>
          </cell>
          <cell r="L41">
            <v>536688.55000000005</v>
          </cell>
          <cell r="P41">
            <v>536688.55000000005</v>
          </cell>
          <cell r="T41">
            <v>1073377.1000000001</v>
          </cell>
          <cell r="U41" t="str">
            <v>H4.5A30.RH.CC.0.CC</v>
          </cell>
        </row>
        <row r="42">
          <cell r="B42" t="str">
            <v>Cumulative Cost</v>
          </cell>
          <cell r="H42">
            <v>0</v>
          </cell>
          <cell r="I42">
            <v>0</v>
          </cell>
          <cell r="J42">
            <v>400195.99</v>
          </cell>
          <cell r="K42">
            <v>400195.99</v>
          </cell>
          <cell r="L42">
            <v>1937667.62</v>
          </cell>
          <cell r="M42">
            <v>2337863.6100000003</v>
          </cell>
          <cell r="N42">
            <v>2337863.6100000003</v>
          </cell>
          <cell r="O42">
            <v>2337863.6100000003</v>
          </cell>
          <cell r="P42">
            <v>4275531.2300000004</v>
          </cell>
          <cell r="Q42">
            <v>4275531.2300000004</v>
          </cell>
          <cell r="R42">
            <v>4275531.2300000004</v>
          </cell>
          <cell r="S42">
            <v>4275531.2300000004</v>
          </cell>
          <cell r="T42">
            <v>4275531.2300000004</v>
          </cell>
        </row>
        <row r="43">
          <cell r="B43" t="str">
            <v>Hourly Rate by period</v>
          </cell>
          <cell r="H43">
            <v>0</v>
          </cell>
          <cell r="I43">
            <v>0</v>
          </cell>
          <cell r="J43">
            <v>57.17</v>
          </cell>
          <cell r="K43">
            <v>0</v>
          </cell>
          <cell r="L43">
            <v>219.64</v>
          </cell>
          <cell r="M43">
            <v>57.17</v>
          </cell>
          <cell r="N43">
            <v>0</v>
          </cell>
          <cell r="O43">
            <v>0</v>
          </cell>
          <cell r="P43">
            <v>276.81</v>
          </cell>
          <cell r="Q43">
            <v>0</v>
          </cell>
          <cell r="R43">
            <v>0</v>
          </cell>
          <cell r="S43">
            <v>0</v>
          </cell>
        </row>
        <row r="44">
          <cell r="B44" t="str">
            <v>Cumulative Hourly Rate</v>
          </cell>
          <cell r="H44">
            <v>0</v>
          </cell>
          <cell r="I44">
            <v>0</v>
          </cell>
          <cell r="J44">
            <v>19.059999999999999</v>
          </cell>
          <cell r="K44">
            <v>14.29</v>
          </cell>
          <cell r="L44">
            <v>55.36</v>
          </cell>
          <cell r="M44">
            <v>55.66</v>
          </cell>
          <cell r="N44">
            <v>47.71</v>
          </cell>
          <cell r="O44">
            <v>41.75</v>
          </cell>
          <cell r="P44">
            <v>67.87</v>
          </cell>
          <cell r="Q44">
            <v>61.08</v>
          </cell>
          <cell r="R44">
            <v>55.53</v>
          </cell>
          <cell r="S44">
            <v>50.9</v>
          </cell>
          <cell r="T44">
            <v>50.9</v>
          </cell>
        </row>
        <row r="45">
          <cell r="A45" t="str">
            <v>Work Equip.</v>
          </cell>
          <cell r="B45" t="str">
            <v>DUMP BODY</v>
          </cell>
          <cell r="D45">
            <v>1</v>
          </cell>
          <cell r="E45">
            <v>98338.12</v>
          </cell>
          <cell r="F45">
            <v>40000</v>
          </cell>
          <cell r="G45">
            <v>1</v>
          </cell>
          <cell r="M45">
            <v>98338.13</v>
          </cell>
          <cell r="T45">
            <v>98338.13</v>
          </cell>
          <cell r="U45" t="str">
            <v>H5.7900.N01.CC.0.CC</v>
          </cell>
        </row>
        <row r="46">
          <cell r="B46" t="str">
            <v>Cumulative Cost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98338.13</v>
          </cell>
          <cell r="N46">
            <v>98338.13</v>
          </cell>
          <cell r="O46">
            <v>98338.13</v>
          </cell>
          <cell r="P46">
            <v>98338.13</v>
          </cell>
          <cell r="Q46">
            <v>98338.13</v>
          </cell>
          <cell r="R46">
            <v>98338.13</v>
          </cell>
          <cell r="S46">
            <v>98338.13</v>
          </cell>
          <cell r="T46">
            <v>98338.13</v>
          </cell>
        </row>
        <row r="47">
          <cell r="B47" t="str">
            <v>Hourly Rate by period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14.05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B48" t="str">
            <v>Cumulative Hourly Rate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2.34</v>
          </cell>
          <cell r="N48">
            <v>2.0099999999999998</v>
          </cell>
          <cell r="O48">
            <v>1.76</v>
          </cell>
          <cell r="P48">
            <v>1.56</v>
          </cell>
          <cell r="Q48">
            <v>1.4</v>
          </cell>
          <cell r="R48">
            <v>1.28</v>
          </cell>
          <cell r="S48">
            <v>1.17</v>
          </cell>
          <cell r="T48">
            <v>1.17</v>
          </cell>
        </row>
        <row r="49">
          <cell r="A49" t="str">
            <v>Miscellaneous</v>
          </cell>
          <cell r="B49" t="str">
            <v>ENGINE RELATED PARTS</v>
          </cell>
          <cell r="D49">
            <v>1</v>
          </cell>
          <cell r="E49">
            <v>157532.19</v>
          </cell>
          <cell r="F49">
            <v>21000</v>
          </cell>
          <cell r="G49">
            <v>3</v>
          </cell>
          <cell r="J49">
            <v>157532.19</v>
          </cell>
          <cell r="M49">
            <v>157532.19</v>
          </cell>
          <cell r="P49">
            <v>157532.19</v>
          </cell>
          <cell r="T49">
            <v>472596.57</v>
          </cell>
          <cell r="U49" t="str">
            <v>E6.A000.0.CC.0.CC</v>
          </cell>
        </row>
        <row r="50">
          <cell r="B50" t="str">
            <v>COOLING SYSTEM</v>
          </cell>
          <cell r="D50">
            <v>1</v>
          </cell>
          <cell r="E50">
            <v>187597.07</v>
          </cell>
          <cell r="F50">
            <v>21000</v>
          </cell>
          <cell r="G50">
            <v>3</v>
          </cell>
          <cell r="J50">
            <v>187597.07</v>
          </cell>
          <cell r="M50">
            <v>187597.07</v>
          </cell>
          <cell r="P50">
            <v>187597.07</v>
          </cell>
          <cell r="T50">
            <v>562791.21</v>
          </cell>
          <cell r="U50" t="str">
            <v>H6.0300.0.CC.0.CC</v>
          </cell>
        </row>
        <row r="51">
          <cell r="B51" t="str">
            <v>COOLING SYSTEM PIPING</v>
          </cell>
          <cell r="D51">
            <v>1</v>
          </cell>
          <cell r="E51">
            <v>60115.96</v>
          </cell>
          <cell r="F51">
            <v>21000</v>
          </cell>
          <cell r="G51">
            <v>3</v>
          </cell>
          <cell r="J51">
            <v>60115.97</v>
          </cell>
          <cell r="M51">
            <v>60115.97</v>
          </cell>
          <cell r="P51">
            <v>60115.97</v>
          </cell>
          <cell r="T51">
            <v>180347.91</v>
          </cell>
          <cell r="U51" t="str">
            <v>H6.0300.ACC.CC.0.CC</v>
          </cell>
        </row>
        <row r="52">
          <cell r="B52" t="str">
            <v>COOLING SYS-RADIATOR, ETC</v>
          </cell>
          <cell r="D52">
            <v>1</v>
          </cell>
          <cell r="E52">
            <v>831563.07</v>
          </cell>
          <cell r="F52">
            <v>42000</v>
          </cell>
          <cell r="G52">
            <v>1</v>
          </cell>
          <cell r="M52">
            <v>831563.07</v>
          </cell>
          <cell r="T52">
            <v>831563.07</v>
          </cell>
          <cell r="U52" t="str">
            <v>H6.0310.0.CC.0.CC</v>
          </cell>
        </row>
        <row r="53">
          <cell r="B53" t="str">
            <v>RADIATOR PIPING</v>
          </cell>
          <cell r="D53">
            <v>1</v>
          </cell>
          <cell r="E53">
            <v>87845.04</v>
          </cell>
          <cell r="F53">
            <v>21000</v>
          </cell>
          <cell r="G53">
            <v>3</v>
          </cell>
          <cell r="J53">
            <v>87845.04</v>
          </cell>
          <cell r="M53">
            <v>87845.04</v>
          </cell>
          <cell r="P53">
            <v>87845.04</v>
          </cell>
          <cell r="T53">
            <v>263535.12</v>
          </cell>
          <cell r="U53" t="str">
            <v>H6.0350.0.CC.0.CC</v>
          </cell>
        </row>
        <row r="54">
          <cell r="B54" t="str">
            <v>CONTROL-PEDAL,LINKAGE</v>
          </cell>
          <cell r="D54">
            <v>1</v>
          </cell>
          <cell r="E54">
            <v>50282.61</v>
          </cell>
          <cell r="F54">
            <v>21000</v>
          </cell>
          <cell r="G54">
            <v>3</v>
          </cell>
          <cell r="J54">
            <v>50282.61</v>
          </cell>
          <cell r="M54">
            <v>50282.61</v>
          </cell>
          <cell r="P54">
            <v>50282.61</v>
          </cell>
          <cell r="T54">
            <v>150847.82999999999</v>
          </cell>
          <cell r="U54" t="str">
            <v>H6.0930.LNK.CC.0.CC</v>
          </cell>
        </row>
        <row r="55">
          <cell r="B55" t="str">
            <v>BRAKE PIPING</v>
          </cell>
          <cell r="D55">
            <v>1</v>
          </cell>
          <cell r="E55">
            <v>232128.13</v>
          </cell>
          <cell r="F55">
            <v>16000</v>
          </cell>
          <cell r="G55">
            <v>4</v>
          </cell>
          <cell r="J55">
            <v>232128.14</v>
          </cell>
          <cell r="L55">
            <v>232128.14</v>
          </cell>
          <cell r="N55">
            <v>232128.14</v>
          </cell>
          <cell r="Q55">
            <v>232128.14</v>
          </cell>
          <cell r="T55">
            <v>928512.56</v>
          </cell>
          <cell r="U55" t="str">
            <v>H6.2G00.0.CC.0.CC</v>
          </cell>
        </row>
        <row r="56">
          <cell r="B56" t="str">
            <v xml:space="preserve">STEERING COLUMN </v>
          </cell>
          <cell r="D56">
            <v>1</v>
          </cell>
          <cell r="E56">
            <v>372227.9</v>
          </cell>
          <cell r="F56">
            <v>42000</v>
          </cell>
          <cell r="G56">
            <v>1</v>
          </cell>
          <cell r="M56">
            <v>372227.91</v>
          </cell>
          <cell r="T56">
            <v>372227.91</v>
          </cell>
          <cell r="U56" t="str">
            <v>H6.4A30.0.CC.0.CC</v>
          </cell>
        </row>
        <row r="57">
          <cell r="B57" t="str">
            <v>CABIN &amp; INTERNAL</v>
          </cell>
          <cell r="D57">
            <v>1</v>
          </cell>
          <cell r="E57">
            <v>159649.60000000001</v>
          </cell>
          <cell r="F57">
            <v>42000</v>
          </cell>
          <cell r="G57">
            <v>1</v>
          </cell>
          <cell r="M57">
            <v>159649.60000000001</v>
          </cell>
          <cell r="T57">
            <v>159649.60000000001</v>
          </cell>
          <cell r="U57" t="str">
            <v>H6.5510.N01.CC.0.CC</v>
          </cell>
        </row>
        <row r="58">
          <cell r="B58" t="str">
            <v>AIR CONDITIONING SYSTEM</v>
          </cell>
          <cell r="D58">
            <v>1</v>
          </cell>
          <cell r="E58">
            <v>99208.06</v>
          </cell>
          <cell r="F58">
            <v>21000</v>
          </cell>
          <cell r="G58">
            <v>3</v>
          </cell>
          <cell r="J58">
            <v>99208.06</v>
          </cell>
          <cell r="M58">
            <v>99208.06</v>
          </cell>
          <cell r="P58">
            <v>99208.06</v>
          </cell>
          <cell r="T58">
            <v>297624.18</v>
          </cell>
          <cell r="U58" t="str">
            <v>H6.8700.0.CC.0.CC</v>
          </cell>
        </row>
        <row r="59">
          <cell r="B59" t="str">
            <v>V-BELT</v>
          </cell>
          <cell r="D59">
            <v>3</v>
          </cell>
          <cell r="E59">
            <v>60462</v>
          </cell>
          <cell r="F59">
            <v>8000</v>
          </cell>
          <cell r="G59">
            <v>9</v>
          </cell>
          <cell r="I59">
            <v>60462</v>
          </cell>
          <cell r="J59">
            <v>60462</v>
          </cell>
          <cell r="K59">
            <v>60462</v>
          </cell>
          <cell r="L59">
            <v>60462</v>
          </cell>
          <cell r="M59">
            <v>60462</v>
          </cell>
          <cell r="N59">
            <v>60462</v>
          </cell>
          <cell r="O59">
            <v>60462</v>
          </cell>
          <cell r="Q59">
            <v>60462</v>
          </cell>
          <cell r="R59">
            <v>60462</v>
          </cell>
          <cell r="T59">
            <v>544158</v>
          </cell>
          <cell r="U59" t="str">
            <v>H6.A670.0.CC.0.CC</v>
          </cell>
        </row>
        <row r="60">
          <cell r="B60" t="str">
            <v>ELECTRICAL SYSTEM</v>
          </cell>
          <cell r="D60">
            <v>1</v>
          </cell>
          <cell r="E60">
            <v>162014.74</v>
          </cell>
          <cell r="F60">
            <v>32000</v>
          </cell>
          <cell r="G60">
            <v>2</v>
          </cell>
          <cell r="L60">
            <v>162014.74</v>
          </cell>
          <cell r="Q60">
            <v>162014.74</v>
          </cell>
          <cell r="T60">
            <v>324029.48</v>
          </cell>
          <cell r="U60" t="str">
            <v>H6.D700.0.CC.0.CC</v>
          </cell>
        </row>
        <row r="61">
          <cell r="B61" t="str">
            <v>FUEL TANK &amp; RELATED PARTS</v>
          </cell>
          <cell r="D61">
            <v>1</v>
          </cell>
          <cell r="E61">
            <v>60565.03</v>
          </cell>
          <cell r="F61">
            <v>32000</v>
          </cell>
          <cell r="G61">
            <v>2</v>
          </cell>
          <cell r="L61">
            <v>60565.03</v>
          </cell>
          <cell r="Q61">
            <v>60565.03</v>
          </cell>
          <cell r="T61">
            <v>121130.06</v>
          </cell>
          <cell r="U61" t="str">
            <v>H6.K@21.0.CC.0.CC</v>
          </cell>
        </row>
        <row r="62">
          <cell r="B62" t="str">
            <v>SAFETY RELATED HOSES- 100%</v>
          </cell>
          <cell r="D62">
            <v>1</v>
          </cell>
          <cell r="E62">
            <v>1358989.88</v>
          </cell>
          <cell r="F62">
            <v>8000</v>
          </cell>
          <cell r="G62">
            <v>9</v>
          </cell>
          <cell r="I62">
            <v>1358989.89</v>
          </cell>
          <cell r="J62">
            <v>1358989.89</v>
          </cell>
          <cell r="K62">
            <v>1358989.89</v>
          </cell>
          <cell r="L62">
            <v>1358989.89</v>
          </cell>
          <cell r="M62">
            <v>1358989.89</v>
          </cell>
          <cell r="N62">
            <v>1358989.89</v>
          </cell>
          <cell r="O62">
            <v>1358989.89</v>
          </cell>
          <cell r="Q62">
            <v>1358989.89</v>
          </cell>
          <cell r="R62">
            <v>1358989.89</v>
          </cell>
          <cell r="T62">
            <v>12230909.01</v>
          </cell>
          <cell r="U62" t="str">
            <v>H6.K@CD.HP.CC.0.CC</v>
          </cell>
        </row>
        <row r="63">
          <cell r="B63" t="str">
            <v>SAFETY CRITICAL PARTS- NO4</v>
          </cell>
          <cell r="D63">
            <v>1</v>
          </cell>
          <cell r="E63">
            <v>13325.44</v>
          </cell>
          <cell r="F63">
            <v>12000</v>
          </cell>
          <cell r="G63">
            <v>6</v>
          </cell>
          <cell r="I63">
            <v>13325.44</v>
          </cell>
          <cell r="K63">
            <v>13325.44</v>
          </cell>
          <cell r="M63">
            <v>13325.44</v>
          </cell>
          <cell r="N63">
            <v>13325.44</v>
          </cell>
          <cell r="P63">
            <v>13325.44</v>
          </cell>
          <cell r="R63">
            <v>13325.44</v>
          </cell>
          <cell r="T63">
            <v>79952.639999999999</v>
          </cell>
          <cell r="U63" t="str">
            <v>H6.K@CD.N04.CC.0.CC</v>
          </cell>
        </row>
        <row r="64">
          <cell r="B64" t="str">
            <v>GENERAL REPAIR</v>
          </cell>
          <cell r="D64">
            <v>1</v>
          </cell>
          <cell r="E64">
            <v>12290.74</v>
          </cell>
          <cell r="F64">
            <v>1000</v>
          </cell>
          <cell r="G64">
            <v>83</v>
          </cell>
          <cell r="H64">
            <v>86035.18</v>
          </cell>
          <cell r="I64">
            <v>86035.18</v>
          </cell>
          <cell r="J64">
            <v>86035.18</v>
          </cell>
          <cell r="K64">
            <v>86035.18</v>
          </cell>
          <cell r="L64">
            <v>86035.18</v>
          </cell>
          <cell r="M64">
            <v>86035.18</v>
          </cell>
          <cell r="N64">
            <v>86035.18</v>
          </cell>
          <cell r="O64">
            <v>86035.18</v>
          </cell>
          <cell r="P64">
            <v>86035.18</v>
          </cell>
          <cell r="Q64">
            <v>86035.18</v>
          </cell>
          <cell r="R64">
            <v>86035.18</v>
          </cell>
          <cell r="S64">
            <v>73744.44</v>
          </cell>
          <cell r="T64">
            <v>1020131.42</v>
          </cell>
          <cell r="U64" t="str">
            <v>Z6.4710.MIN.CC.0.CC</v>
          </cell>
        </row>
        <row r="65">
          <cell r="B65" t="str">
            <v>Cumulative Cost</v>
          </cell>
          <cell r="H65">
            <v>86035.18</v>
          </cell>
          <cell r="I65">
            <v>1604847.6899999997</v>
          </cell>
          <cell r="J65">
            <v>3985043.84</v>
          </cell>
          <cell r="K65">
            <v>5503856.3499999996</v>
          </cell>
          <cell r="L65">
            <v>7464051.3299999991</v>
          </cell>
          <cell r="M65">
            <v>10988885.359999999</v>
          </cell>
          <cell r="N65">
            <v>12739826.01</v>
          </cell>
          <cell r="O65">
            <v>14245313.08</v>
          </cell>
          <cell r="P65">
            <v>14987254.640000001</v>
          </cell>
          <cell r="Q65">
            <v>16947449.620000001</v>
          </cell>
          <cell r="R65">
            <v>18466262.130000003</v>
          </cell>
          <cell r="S65">
            <v>18540006.570000004</v>
          </cell>
          <cell r="T65">
            <v>18540006.570000004</v>
          </cell>
        </row>
        <row r="66">
          <cell r="B66" t="str">
            <v>Hourly Rate by period</v>
          </cell>
          <cell r="H66">
            <v>12.29</v>
          </cell>
          <cell r="I66">
            <v>216.97</v>
          </cell>
          <cell r="J66">
            <v>340.03</v>
          </cell>
          <cell r="K66">
            <v>216.97</v>
          </cell>
          <cell r="L66">
            <v>280.02999999999997</v>
          </cell>
          <cell r="M66">
            <v>503.55</v>
          </cell>
          <cell r="N66">
            <v>250.13</v>
          </cell>
          <cell r="O66">
            <v>215.07</v>
          </cell>
          <cell r="P66">
            <v>105.99</v>
          </cell>
          <cell r="Q66">
            <v>280.02999999999997</v>
          </cell>
          <cell r="R66">
            <v>216.97</v>
          </cell>
          <cell r="S66">
            <v>10.53</v>
          </cell>
        </row>
        <row r="67">
          <cell r="B67" t="str">
            <v>Cumulative Hourly Rate</v>
          </cell>
          <cell r="H67">
            <v>12.29</v>
          </cell>
          <cell r="I67">
            <v>114.63</v>
          </cell>
          <cell r="J67">
            <v>189.76</v>
          </cell>
          <cell r="K67">
            <v>196.57</v>
          </cell>
          <cell r="L67">
            <v>213.26</v>
          </cell>
          <cell r="M67">
            <v>261.64</v>
          </cell>
          <cell r="N67">
            <v>260</v>
          </cell>
          <cell r="O67">
            <v>254.38</v>
          </cell>
          <cell r="P67">
            <v>237.89</v>
          </cell>
          <cell r="Q67">
            <v>242.11</v>
          </cell>
          <cell r="R67">
            <v>239.82</v>
          </cell>
          <cell r="S67">
            <v>220.71</v>
          </cell>
          <cell r="T67">
            <v>220.71</v>
          </cell>
        </row>
        <row r="68">
          <cell r="A68" t="str">
            <v>Undercarriage</v>
          </cell>
          <cell r="B68" t="str">
            <v>RIM- FRONT</v>
          </cell>
          <cell r="D68">
            <v>2</v>
          </cell>
          <cell r="E68">
            <v>1247374.45</v>
          </cell>
          <cell r="F68">
            <v>42000</v>
          </cell>
          <cell r="G68">
            <v>1</v>
          </cell>
          <cell r="M68">
            <v>1247374.45</v>
          </cell>
          <cell r="T68">
            <v>1247374.45</v>
          </cell>
          <cell r="U68" t="str">
            <v>H7.3A21.FR.CC.0.CC</v>
          </cell>
        </row>
        <row r="69">
          <cell r="B69" t="str">
            <v>RIM- REAR</v>
          </cell>
          <cell r="D69">
            <v>4</v>
          </cell>
          <cell r="E69">
            <v>2507309.7599999998</v>
          </cell>
          <cell r="F69">
            <v>42000</v>
          </cell>
          <cell r="G69">
            <v>1</v>
          </cell>
          <cell r="M69">
            <v>2507309.7599999998</v>
          </cell>
          <cell r="T69">
            <v>2507309.7599999998</v>
          </cell>
          <cell r="U69" t="str">
            <v>H7.3A21.RR.CC.0.CC</v>
          </cell>
        </row>
        <row r="70">
          <cell r="B70" t="str">
            <v>Cumulative Cost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3754684.21</v>
          </cell>
          <cell r="N70">
            <v>3754684.21</v>
          </cell>
          <cell r="O70">
            <v>3754684.21</v>
          </cell>
          <cell r="P70">
            <v>3754684.21</v>
          </cell>
          <cell r="Q70">
            <v>3754684.21</v>
          </cell>
          <cell r="R70">
            <v>3754684.21</v>
          </cell>
          <cell r="S70">
            <v>3754684.21</v>
          </cell>
          <cell r="T70">
            <v>3754684.21</v>
          </cell>
        </row>
        <row r="71">
          <cell r="B71" t="str">
            <v>Hourly Rate by period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536.38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B72" t="str">
            <v>Cumulative Hourly Rate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89.4</v>
          </cell>
          <cell r="N72">
            <v>76.63</v>
          </cell>
          <cell r="O72">
            <v>67.05</v>
          </cell>
          <cell r="P72">
            <v>59.6</v>
          </cell>
          <cell r="Q72">
            <v>53.64</v>
          </cell>
          <cell r="R72">
            <v>48.76</v>
          </cell>
          <cell r="S72">
            <v>44.7</v>
          </cell>
          <cell r="T72">
            <v>44.7</v>
          </cell>
        </row>
        <row r="73">
          <cell r="A73" t="str">
            <v>Repair Total</v>
          </cell>
          <cell r="B73" t="str">
            <v>Cumulative Cost</v>
          </cell>
          <cell r="H73">
            <v>86035.18</v>
          </cell>
          <cell r="I73">
            <v>2497264.52</v>
          </cell>
          <cell r="J73">
            <v>14545972.1</v>
          </cell>
          <cell r="K73">
            <v>16213830.149999999</v>
          </cell>
          <cell r="L73">
            <v>31331162.5</v>
          </cell>
          <cell r="M73">
            <v>50297494.990000002</v>
          </cell>
          <cell r="N73">
            <v>58012877.310000002</v>
          </cell>
          <cell r="O73">
            <v>71081397.260000005</v>
          </cell>
          <cell r="P73">
            <v>83235000.280000001</v>
          </cell>
          <cell r="Q73">
            <v>85195195.260000005</v>
          </cell>
          <cell r="R73">
            <v>97559230.74000001</v>
          </cell>
          <cell r="S73">
            <v>97632975.180000007</v>
          </cell>
          <cell r="T73">
            <v>97632975.180000007</v>
          </cell>
        </row>
        <row r="74">
          <cell r="B74" t="str">
            <v>Hourly Rate by period</v>
          </cell>
          <cell r="H74">
            <v>12.29</v>
          </cell>
          <cell r="I74">
            <v>344.46</v>
          </cell>
          <cell r="J74">
            <v>1721.24</v>
          </cell>
          <cell r="K74">
            <v>238.27</v>
          </cell>
          <cell r="L74">
            <v>2159.62</v>
          </cell>
          <cell r="M74">
            <v>2709.48</v>
          </cell>
          <cell r="N74">
            <v>1102.2</v>
          </cell>
          <cell r="O74">
            <v>1866.93</v>
          </cell>
          <cell r="P74">
            <v>1736.23</v>
          </cell>
          <cell r="Q74">
            <v>280.02999999999997</v>
          </cell>
          <cell r="R74">
            <v>1766.29</v>
          </cell>
          <cell r="S74">
            <v>10.53</v>
          </cell>
        </row>
        <row r="75">
          <cell r="A75" t="str">
            <v>____________________</v>
          </cell>
          <cell r="B75" t="str">
            <v>Cumulative Hourly Rate</v>
          </cell>
          <cell r="H75">
            <v>12.29</v>
          </cell>
          <cell r="I75">
            <v>178.38</v>
          </cell>
          <cell r="J75">
            <v>692.67</v>
          </cell>
          <cell r="K75">
            <v>579.07000000000005</v>
          </cell>
          <cell r="L75">
            <v>895.18</v>
          </cell>
          <cell r="M75">
            <v>1197.56</v>
          </cell>
          <cell r="N75">
            <v>1183.94</v>
          </cell>
          <cell r="O75">
            <v>1269.31</v>
          </cell>
          <cell r="P75">
            <v>1321.19</v>
          </cell>
          <cell r="Q75">
            <v>1217.07</v>
          </cell>
          <cell r="R75">
            <v>1267</v>
          </cell>
          <cell r="S75">
            <v>1162.3</v>
          </cell>
          <cell r="T75">
            <v>1162.3</v>
          </cell>
        </row>
        <row r="76">
          <cell r="A76" t="str">
            <v>Oils</v>
          </cell>
          <cell r="B76" t="str">
            <v>BRAKE(OIL)</v>
          </cell>
          <cell r="D76">
            <v>1</v>
          </cell>
          <cell r="E76">
            <v>13173.48</v>
          </cell>
          <cell r="F76">
            <v>1000</v>
          </cell>
          <cell r="G76">
            <v>84</v>
          </cell>
          <cell r="H76">
            <v>105387.84</v>
          </cell>
          <cell r="I76">
            <v>92214.36</v>
          </cell>
          <cell r="J76">
            <v>92214.36</v>
          </cell>
          <cell r="K76">
            <v>92214.36</v>
          </cell>
          <cell r="L76">
            <v>92214.36</v>
          </cell>
          <cell r="M76">
            <v>92214.36</v>
          </cell>
          <cell r="N76">
            <v>92214.36</v>
          </cell>
          <cell r="O76">
            <v>92214.36</v>
          </cell>
          <cell r="P76">
            <v>92214.36</v>
          </cell>
          <cell r="Q76">
            <v>92214.36</v>
          </cell>
          <cell r="R76">
            <v>92214.36</v>
          </cell>
          <cell r="S76">
            <v>79040.88</v>
          </cell>
          <cell r="T76">
            <v>1106572.32</v>
          </cell>
          <cell r="U76" t="str">
            <v>MI.2C00.0.PM.0.PM</v>
          </cell>
        </row>
        <row r="77">
          <cell r="B77" t="str">
            <v>DIFFERENTIAL(OIL)</v>
          </cell>
          <cell r="D77">
            <v>1</v>
          </cell>
          <cell r="E77">
            <v>16283.82</v>
          </cell>
          <cell r="F77">
            <v>2000</v>
          </cell>
          <cell r="G77">
            <v>42</v>
          </cell>
          <cell r="H77">
            <v>65135.28</v>
          </cell>
          <cell r="I77">
            <v>65135.28</v>
          </cell>
          <cell r="J77">
            <v>48851.46</v>
          </cell>
          <cell r="K77">
            <v>65135.28</v>
          </cell>
          <cell r="L77">
            <v>48851.46</v>
          </cell>
          <cell r="M77">
            <v>65135.28</v>
          </cell>
          <cell r="N77">
            <v>48851.46</v>
          </cell>
          <cell r="O77">
            <v>65135.28</v>
          </cell>
          <cell r="P77">
            <v>48851.46</v>
          </cell>
          <cell r="Q77">
            <v>65135.28</v>
          </cell>
          <cell r="R77">
            <v>48851.46</v>
          </cell>
          <cell r="S77">
            <v>48851.46</v>
          </cell>
          <cell r="T77">
            <v>683920.44</v>
          </cell>
          <cell r="U77" t="str">
            <v>MI.2J10.0.PM.0.PM</v>
          </cell>
        </row>
        <row r="78">
          <cell r="B78" t="str">
            <v>ENGINE(CONSUMPTION)(OIL)</v>
          </cell>
          <cell r="D78">
            <v>1</v>
          </cell>
          <cell r="E78">
            <v>2154.09</v>
          </cell>
          <cell r="F78">
            <v>250</v>
          </cell>
          <cell r="G78">
            <v>168</v>
          </cell>
          <cell r="H78">
            <v>30157.34</v>
          </cell>
          <cell r="I78">
            <v>30157.34</v>
          </cell>
          <cell r="J78">
            <v>30157.34</v>
          </cell>
          <cell r="K78">
            <v>30157.34</v>
          </cell>
          <cell r="L78">
            <v>30157.34</v>
          </cell>
          <cell r="M78">
            <v>30157.34</v>
          </cell>
          <cell r="N78">
            <v>30157.34</v>
          </cell>
          <cell r="O78">
            <v>30157.34</v>
          </cell>
          <cell r="P78">
            <v>30157.34</v>
          </cell>
          <cell r="Q78">
            <v>30157.34</v>
          </cell>
          <cell r="R78">
            <v>30157.34</v>
          </cell>
          <cell r="S78">
            <v>30157.34</v>
          </cell>
          <cell r="T78">
            <v>361888.08</v>
          </cell>
          <cell r="U78" t="str">
            <v>MI.B@BA.0.PM.0.PM</v>
          </cell>
        </row>
        <row r="79">
          <cell r="B79" t="str">
            <v>ENGINE(REFILLED)(OIL)</v>
          </cell>
          <cell r="D79">
            <v>1</v>
          </cell>
          <cell r="E79">
            <v>16540.38</v>
          </cell>
          <cell r="F79">
            <v>500</v>
          </cell>
          <cell r="G79">
            <v>167</v>
          </cell>
          <cell r="H79">
            <v>231565.32</v>
          </cell>
          <cell r="I79">
            <v>231565.32</v>
          </cell>
          <cell r="J79">
            <v>231565.32</v>
          </cell>
          <cell r="K79">
            <v>231565.32</v>
          </cell>
          <cell r="L79">
            <v>231565.32</v>
          </cell>
          <cell r="M79">
            <v>231565.32</v>
          </cell>
          <cell r="N79">
            <v>231565.32</v>
          </cell>
          <cell r="O79">
            <v>231565.32</v>
          </cell>
          <cell r="P79">
            <v>231565.32</v>
          </cell>
          <cell r="Q79">
            <v>231565.32</v>
          </cell>
          <cell r="R79">
            <v>231565.32</v>
          </cell>
          <cell r="S79">
            <v>215024.94</v>
          </cell>
          <cell r="T79">
            <v>2762243.46</v>
          </cell>
          <cell r="U79" t="str">
            <v>MI.B@BA.0.RFL.0.PM</v>
          </cell>
        </row>
        <row r="80">
          <cell r="B80" t="str">
            <v>TRANSMISSION(OIL)</v>
          </cell>
          <cell r="D80">
            <v>1</v>
          </cell>
          <cell r="E80">
            <v>24366.3</v>
          </cell>
          <cell r="F80">
            <v>1000</v>
          </cell>
          <cell r="G80">
            <v>84</v>
          </cell>
          <cell r="H80">
            <v>194930.4</v>
          </cell>
          <cell r="I80">
            <v>170564.1</v>
          </cell>
          <cell r="J80">
            <v>170564.1</v>
          </cell>
          <cell r="K80">
            <v>170564.1</v>
          </cell>
          <cell r="L80">
            <v>170564.1</v>
          </cell>
          <cell r="M80">
            <v>170564.1</v>
          </cell>
          <cell r="N80">
            <v>170564.1</v>
          </cell>
          <cell r="O80">
            <v>170564.1</v>
          </cell>
          <cell r="P80">
            <v>170564.1</v>
          </cell>
          <cell r="Q80">
            <v>170564.1</v>
          </cell>
          <cell r="R80">
            <v>170564.1</v>
          </cell>
          <cell r="S80">
            <v>146197.79999999999</v>
          </cell>
          <cell r="T80">
            <v>2046769.2</v>
          </cell>
          <cell r="U80" t="str">
            <v>MI.B@CF.N01.PM.0.PM</v>
          </cell>
        </row>
        <row r="81">
          <cell r="B81" t="str">
            <v>FINAL DRIVE (L.H. &amp; R.H.)(OIL)</v>
          </cell>
          <cell r="D81">
            <v>2</v>
          </cell>
          <cell r="E81">
            <v>15214.08</v>
          </cell>
          <cell r="F81">
            <v>2000</v>
          </cell>
          <cell r="G81">
            <v>42</v>
          </cell>
          <cell r="H81">
            <v>60856.32</v>
          </cell>
          <cell r="I81">
            <v>60856.32</v>
          </cell>
          <cell r="J81">
            <v>45642.239999999998</v>
          </cell>
          <cell r="K81">
            <v>60856.32</v>
          </cell>
          <cell r="L81">
            <v>45642.239999999998</v>
          </cell>
          <cell r="M81">
            <v>60856.32</v>
          </cell>
          <cell r="N81">
            <v>45642.239999999998</v>
          </cell>
          <cell r="O81">
            <v>60856.32</v>
          </cell>
          <cell r="P81">
            <v>45642.239999999998</v>
          </cell>
          <cell r="Q81">
            <v>60856.32</v>
          </cell>
          <cell r="R81">
            <v>45642.239999999998</v>
          </cell>
          <cell r="S81">
            <v>45642.239999999998</v>
          </cell>
          <cell r="T81">
            <v>638991.35999999999</v>
          </cell>
          <cell r="U81" t="str">
            <v>MI.B@CL.N02.PM.0.PM</v>
          </cell>
        </row>
        <row r="82">
          <cell r="B82" t="str">
            <v>HYDRAULIC SYSTEM(OIL)</v>
          </cell>
          <cell r="D82">
            <v>1</v>
          </cell>
          <cell r="E82">
            <v>19412.75</v>
          </cell>
          <cell r="F82">
            <v>4000</v>
          </cell>
          <cell r="G82">
            <v>21</v>
          </cell>
          <cell r="H82">
            <v>38825.5</v>
          </cell>
          <cell r="I82">
            <v>38825.5</v>
          </cell>
          <cell r="J82">
            <v>38825.5</v>
          </cell>
          <cell r="K82">
            <v>38825.5</v>
          </cell>
          <cell r="L82">
            <v>19412.75</v>
          </cell>
          <cell r="M82">
            <v>38825.5</v>
          </cell>
          <cell r="N82">
            <v>38825.5</v>
          </cell>
          <cell r="O82">
            <v>38825.5</v>
          </cell>
          <cell r="P82">
            <v>19412.75</v>
          </cell>
          <cell r="Q82">
            <v>38825.5</v>
          </cell>
          <cell r="R82">
            <v>38825.5</v>
          </cell>
          <cell r="S82">
            <v>19412.75</v>
          </cell>
          <cell r="T82">
            <v>407667.75</v>
          </cell>
          <cell r="U82" t="str">
            <v>MI.B@HA.0.PM.0.PM</v>
          </cell>
        </row>
        <row r="83">
          <cell r="A83" t="str">
            <v>Grease</v>
          </cell>
          <cell r="B83" t="str">
            <v>1000H PERIODIC SERVICE(GREASE)</v>
          </cell>
          <cell r="D83">
            <v>1</v>
          </cell>
          <cell r="E83">
            <v>69.58</v>
          </cell>
          <cell r="F83">
            <v>1000</v>
          </cell>
          <cell r="G83">
            <v>83</v>
          </cell>
          <cell r="H83">
            <v>487.09</v>
          </cell>
          <cell r="I83">
            <v>487.09</v>
          </cell>
          <cell r="J83">
            <v>487.09</v>
          </cell>
          <cell r="K83">
            <v>487.09</v>
          </cell>
          <cell r="L83">
            <v>487.09</v>
          </cell>
          <cell r="M83">
            <v>487.09</v>
          </cell>
          <cell r="N83">
            <v>487.09</v>
          </cell>
          <cell r="O83">
            <v>487.09</v>
          </cell>
          <cell r="P83">
            <v>487.09</v>
          </cell>
          <cell r="Q83">
            <v>487.09</v>
          </cell>
          <cell r="R83">
            <v>487.09</v>
          </cell>
          <cell r="S83">
            <v>417.5</v>
          </cell>
          <cell r="T83">
            <v>5775.49</v>
          </cell>
          <cell r="U83" t="str">
            <v>MJ.B@F0.0.PM.1000.PM</v>
          </cell>
        </row>
        <row r="84">
          <cell r="B84" t="str">
            <v>250H PERIODIC SERVICE(GREASE)</v>
          </cell>
          <cell r="D84">
            <v>1</v>
          </cell>
          <cell r="E84">
            <v>278.33</v>
          </cell>
          <cell r="F84">
            <v>250</v>
          </cell>
          <cell r="G84">
            <v>335</v>
          </cell>
          <cell r="H84">
            <v>7793.41</v>
          </cell>
          <cell r="I84">
            <v>7793.41</v>
          </cell>
          <cell r="J84">
            <v>7793.41</v>
          </cell>
          <cell r="K84">
            <v>7793.41</v>
          </cell>
          <cell r="L84">
            <v>7793.41</v>
          </cell>
          <cell r="M84">
            <v>7793.41</v>
          </cell>
          <cell r="N84">
            <v>7793.41</v>
          </cell>
          <cell r="O84">
            <v>7793.41</v>
          </cell>
          <cell r="P84">
            <v>7793.41</v>
          </cell>
          <cell r="Q84">
            <v>7793.41</v>
          </cell>
          <cell r="R84">
            <v>7793.41</v>
          </cell>
          <cell r="S84">
            <v>7515.07</v>
          </cell>
          <cell r="T84">
            <v>93242.58</v>
          </cell>
          <cell r="U84" t="str">
            <v>MJ.B@F0.0.PM.250.PM</v>
          </cell>
        </row>
        <row r="85">
          <cell r="B85" t="str">
            <v>4000H PERIODIC SERVICE(GREASE)</v>
          </cell>
          <cell r="D85">
            <v>1</v>
          </cell>
          <cell r="E85">
            <v>34.79</v>
          </cell>
          <cell r="F85">
            <v>4000</v>
          </cell>
          <cell r="G85">
            <v>20</v>
          </cell>
          <cell r="H85">
            <v>34.79</v>
          </cell>
          <cell r="I85">
            <v>69.58</v>
          </cell>
          <cell r="J85">
            <v>69.58</v>
          </cell>
          <cell r="K85">
            <v>69.58</v>
          </cell>
          <cell r="L85">
            <v>34.79</v>
          </cell>
          <cell r="M85">
            <v>69.58</v>
          </cell>
          <cell r="N85">
            <v>69.58</v>
          </cell>
          <cell r="O85">
            <v>69.58</v>
          </cell>
          <cell r="P85">
            <v>34.79</v>
          </cell>
          <cell r="Q85">
            <v>69.58</v>
          </cell>
          <cell r="R85">
            <v>69.58</v>
          </cell>
          <cell r="S85">
            <v>34.79</v>
          </cell>
          <cell r="T85">
            <v>695.8</v>
          </cell>
          <cell r="U85" t="str">
            <v>MJ.B@F0.0.PM.4000.PM</v>
          </cell>
        </row>
        <row r="86">
          <cell r="A86" t="str">
            <v>Coolant</v>
          </cell>
          <cell r="B86" t="str">
            <v>COOLANT</v>
          </cell>
          <cell r="D86">
            <v>1</v>
          </cell>
          <cell r="E86">
            <v>18288.45</v>
          </cell>
          <cell r="F86">
            <v>4000</v>
          </cell>
          <cell r="G86">
            <v>20</v>
          </cell>
          <cell r="H86">
            <v>18288.45</v>
          </cell>
          <cell r="I86">
            <v>36576.9</v>
          </cell>
          <cell r="J86">
            <v>36576.9</v>
          </cell>
          <cell r="K86">
            <v>36576.9</v>
          </cell>
          <cell r="L86">
            <v>18288.45</v>
          </cell>
          <cell r="M86">
            <v>36576.9</v>
          </cell>
          <cell r="N86">
            <v>36576.9</v>
          </cell>
          <cell r="O86">
            <v>36576.9</v>
          </cell>
          <cell r="P86">
            <v>18288.45</v>
          </cell>
          <cell r="Q86">
            <v>36576.9</v>
          </cell>
          <cell r="R86">
            <v>36576.9</v>
          </cell>
          <cell r="S86">
            <v>18288.45</v>
          </cell>
          <cell r="T86">
            <v>365769</v>
          </cell>
          <cell r="U86" t="str">
            <v>MK.B@BC.0.PM.0.PM</v>
          </cell>
        </row>
        <row r="87">
          <cell r="A87" t="str">
            <v>PM Filters</v>
          </cell>
          <cell r="B87" t="str">
            <v>T/M OIL FILTER</v>
          </cell>
          <cell r="D87">
            <v>4</v>
          </cell>
          <cell r="E87">
            <v>2056.2800000000002</v>
          </cell>
          <cell r="F87">
            <v>500</v>
          </cell>
          <cell r="G87">
            <v>168</v>
          </cell>
          <cell r="H87">
            <v>30844.2</v>
          </cell>
          <cell r="I87">
            <v>28787.919999999998</v>
          </cell>
          <cell r="J87">
            <v>28787.919999999998</v>
          </cell>
          <cell r="K87">
            <v>28787.919999999998</v>
          </cell>
          <cell r="L87">
            <v>28787.919999999998</v>
          </cell>
          <cell r="M87">
            <v>28787.919999999998</v>
          </cell>
          <cell r="N87">
            <v>28787.919999999998</v>
          </cell>
          <cell r="O87">
            <v>28787.919999999998</v>
          </cell>
          <cell r="P87">
            <v>28787.919999999998</v>
          </cell>
          <cell r="Q87">
            <v>28787.919999999998</v>
          </cell>
          <cell r="R87">
            <v>28787.919999999998</v>
          </cell>
          <cell r="S87">
            <v>26731.64</v>
          </cell>
          <cell r="T87">
            <v>345455.04</v>
          </cell>
          <cell r="U87" t="str">
            <v>ML.15B0.0.PM.0.PM</v>
          </cell>
        </row>
        <row r="88">
          <cell r="B88" t="str">
            <v>T/M FILTER O-RING</v>
          </cell>
          <cell r="D88">
            <v>4</v>
          </cell>
          <cell r="E88">
            <v>750.6</v>
          </cell>
          <cell r="F88">
            <v>500</v>
          </cell>
          <cell r="G88">
            <v>168</v>
          </cell>
          <cell r="H88">
            <v>11259</v>
          </cell>
          <cell r="I88">
            <v>10508.4</v>
          </cell>
          <cell r="J88">
            <v>10508.4</v>
          </cell>
          <cell r="K88">
            <v>10508.4</v>
          </cell>
          <cell r="L88">
            <v>10508.4</v>
          </cell>
          <cell r="M88">
            <v>10508.4</v>
          </cell>
          <cell r="N88">
            <v>10508.4</v>
          </cell>
          <cell r="O88">
            <v>10508.4</v>
          </cell>
          <cell r="P88">
            <v>10508.4</v>
          </cell>
          <cell r="Q88">
            <v>10508.4</v>
          </cell>
          <cell r="R88">
            <v>10508.4</v>
          </cell>
          <cell r="S88">
            <v>9757.7999999999993</v>
          </cell>
          <cell r="T88">
            <v>126100.8</v>
          </cell>
          <cell r="U88" t="str">
            <v>ML.15B0.MIN.PM.0.PM</v>
          </cell>
        </row>
        <row r="89">
          <cell r="B89" t="str">
            <v>T/M FILTER (BRAKE COOLING SIDE)</v>
          </cell>
          <cell r="D89">
            <v>2</v>
          </cell>
          <cell r="E89">
            <v>7809.94</v>
          </cell>
          <cell r="F89">
            <v>1000</v>
          </cell>
          <cell r="G89">
            <v>84</v>
          </cell>
          <cell r="H89">
            <v>62479.519999999997</v>
          </cell>
          <cell r="I89">
            <v>54669.58</v>
          </cell>
          <cell r="J89">
            <v>54669.58</v>
          </cell>
          <cell r="K89">
            <v>54669.58</v>
          </cell>
          <cell r="L89">
            <v>54669.58</v>
          </cell>
          <cell r="M89">
            <v>54669.58</v>
          </cell>
          <cell r="N89">
            <v>54669.58</v>
          </cell>
          <cell r="O89">
            <v>54669.58</v>
          </cell>
          <cell r="P89">
            <v>54669.58</v>
          </cell>
          <cell r="Q89">
            <v>54669.58</v>
          </cell>
          <cell r="R89">
            <v>54669.58</v>
          </cell>
          <cell r="S89">
            <v>46859.64</v>
          </cell>
          <cell r="T89">
            <v>656034.96</v>
          </cell>
          <cell r="U89" t="str">
            <v>ML.15B0.N04.PM.0.PM</v>
          </cell>
        </row>
        <row r="90">
          <cell r="B90" t="str">
            <v>HYDRAULIC OIL FILTER</v>
          </cell>
          <cell r="D90">
            <v>1</v>
          </cell>
          <cell r="E90">
            <v>3904.97</v>
          </cell>
          <cell r="F90">
            <v>2000</v>
          </cell>
          <cell r="G90">
            <v>42</v>
          </cell>
          <cell r="H90">
            <v>15619.88</v>
          </cell>
          <cell r="I90">
            <v>15619.88</v>
          </cell>
          <cell r="J90">
            <v>11714.91</v>
          </cell>
          <cell r="K90">
            <v>15619.88</v>
          </cell>
          <cell r="L90">
            <v>11714.91</v>
          </cell>
          <cell r="M90">
            <v>15619.88</v>
          </cell>
          <cell r="N90">
            <v>11714.91</v>
          </cell>
          <cell r="O90">
            <v>15619.88</v>
          </cell>
          <cell r="P90">
            <v>11714.91</v>
          </cell>
          <cell r="Q90">
            <v>15619.88</v>
          </cell>
          <cell r="R90">
            <v>11714.91</v>
          </cell>
          <cell r="S90">
            <v>11714.91</v>
          </cell>
          <cell r="T90">
            <v>164008.74</v>
          </cell>
          <cell r="U90" t="str">
            <v>ML.6020.0.PM.0.PM</v>
          </cell>
        </row>
        <row r="91">
          <cell r="B91" t="str">
            <v>HYD. FILTER O-RING</v>
          </cell>
          <cell r="D91">
            <v>1</v>
          </cell>
          <cell r="E91">
            <v>1647.28</v>
          </cell>
          <cell r="F91">
            <v>2000</v>
          </cell>
          <cell r="G91">
            <v>42</v>
          </cell>
          <cell r="H91">
            <v>6589.12</v>
          </cell>
          <cell r="I91">
            <v>6589.12</v>
          </cell>
          <cell r="J91">
            <v>4941.84</v>
          </cell>
          <cell r="K91">
            <v>6589.12</v>
          </cell>
          <cell r="L91">
            <v>4941.84</v>
          </cell>
          <cell r="M91">
            <v>6589.12</v>
          </cell>
          <cell r="N91">
            <v>4941.84</v>
          </cell>
          <cell r="O91">
            <v>6589.12</v>
          </cell>
          <cell r="P91">
            <v>4941.84</v>
          </cell>
          <cell r="Q91">
            <v>6589.12</v>
          </cell>
          <cell r="R91">
            <v>4941.84</v>
          </cell>
          <cell r="S91">
            <v>4941.84</v>
          </cell>
          <cell r="T91">
            <v>69185.759999999995</v>
          </cell>
          <cell r="U91" t="str">
            <v>ML.602J.N03.PM.0.PM</v>
          </cell>
        </row>
        <row r="92">
          <cell r="B92" t="str">
            <v>ENGINE OIL FILTER</v>
          </cell>
          <cell r="D92">
            <v>4</v>
          </cell>
          <cell r="E92">
            <v>10497.2</v>
          </cell>
          <cell r="F92">
            <v>500</v>
          </cell>
          <cell r="G92">
            <v>167</v>
          </cell>
          <cell r="H92">
            <v>146960.79999999999</v>
          </cell>
          <cell r="I92">
            <v>146960.79999999999</v>
          </cell>
          <cell r="J92">
            <v>146960.79999999999</v>
          </cell>
          <cell r="K92">
            <v>146960.79999999999</v>
          </cell>
          <cell r="L92">
            <v>146960.79999999999</v>
          </cell>
          <cell r="M92">
            <v>146960.79999999999</v>
          </cell>
          <cell r="N92">
            <v>146960.79999999999</v>
          </cell>
          <cell r="O92">
            <v>146960.79999999999</v>
          </cell>
          <cell r="P92">
            <v>146960.79999999999</v>
          </cell>
          <cell r="Q92">
            <v>146960.79999999999</v>
          </cell>
          <cell r="R92">
            <v>146960.79999999999</v>
          </cell>
          <cell r="S92">
            <v>136463.6</v>
          </cell>
          <cell r="T92">
            <v>1753032.4</v>
          </cell>
          <cell r="U92" t="str">
            <v>ML.A570.0.PM.0.PM</v>
          </cell>
        </row>
        <row r="93">
          <cell r="B93" t="str">
            <v>CORROSION RESISTER</v>
          </cell>
          <cell r="D93">
            <v>2</v>
          </cell>
          <cell r="E93">
            <v>2229.3200000000002</v>
          </cell>
          <cell r="F93">
            <v>1000</v>
          </cell>
          <cell r="G93">
            <v>83</v>
          </cell>
          <cell r="H93">
            <v>15605.24</v>
          </cell>
          <cell r="I93">
            <v>15605.24</v>
          </cell>
          <cell r="J93">
            <v>15605.24</v>
          </cell>
          <cell r="K93">
            <v>15605.24</v>
          </cell>
          <cell r="L93">
            <v>15605.24</v>
          </cell>
          <cell r="M93">
            <v>15605.24</v>
          </cell>
          <cell r="N93">
            <v>15605.24</v>
          </cell>
          <cell r="O93">
            <v>15605.24</v>
          </cell>
          <cell r="P93">
            <v>15605.24</v>
          </cell>
          <cell r="Q93">
            <v>15605.24</v>
          </cell>
          <cell r="R93">
            <v>15605.24</v>
          </cell>
          <cell r="S93">
            <v>13375.92</v>
          </cell>
          <cell r="T93">
            <v>185033.56</v>
          </cell>
          <cell r="U93" t="str">
            <v>ML.A6N0.0.PM.0.PM</v>
          </cell>
        </row>
        <row r="94">
          <cell r="B94" t="str">
            <v>CLAMP FUEL SUPPLY</v>
          </cell>
          <cell r="D94">
            <v>2</v>
          </cell>
          <cell r="E94">
            <v>3529.28</v>
          </cell>
          <cell r="F94">
            <v>8000</v>
          </cell>
          <cell r="G94">
            <v>10</v>
          </cell>
          <cell r="I94">
            <v>3529.28</v>
          </cell>
          <cell r="J94">
            <v>3529.28</v>
          </cell>
          <cell r="K94">
            <v>3529.28</v>
          </cell>
          <cell r="L94">
            <v>3529.28</v>
          </cell>
          <cell r="M94">
            <v>3529.28</v>
          </cell>
          <cell r="N94">
            <v>3529.28</v>
          </cell>
          <cell r="O94">
            <v>3529.28</v>
          </cell>
          <cell r="Q94">
            <v>3529.28</v>
          </cell>
          <cell r="R94">
            <v>3529.28</v>
          </cell>
          <cell r="S94">
            <v>3529.28</v>
          </cell>
          <cell r="T94">
            <v>35292.800000000003</v>
          </cell>
          <cell r="U94" t="str">
            <v>ML.A7J1.N02.PM.0.PM</v>
          </cell>
        </row>
        <row r="95">
          <cell r="B95" t="str">
            <v>CLAMP FUEL SUPPLY No2</v>
          </cell>
          <cell r="D95">
            <v>2</v>
          </cell>
          <cell r="E95">
            <v>4034.16</v>
          </cell>
          <cell r="F95">
            <v>8000</v>
          </cell>
          <cell r="G95">
            <v>10</v>
          </cell>
          <cell r="I95">
            <v>4034.16</v>
          </cell>
          <cell r="J95">
            <v>4034.16</v>
          </cell>
          <cell r="K95">
            <v>4034.16</v>
          </cell>
          <cell r="L95">
            <v>4034.16</v>
          </cell>
          <cell r="M95">
            <v>4034.16</v>
          </cell>
          <cell r="N95">
            <v>4034.16</v>
          </cell>
          <cell r="O95">
            <v>4034.16</v>
          </cell>
          <cell r="Q95">
            <v>4034.16</v>
          </cell>
          <cell r="R95">
            <v>4034.16</v>
          </cell>
          <cell r="S95">
            <v>4034.16</v>
          </cell>
          <cell r="T95">
            <v>40341.599999999999</v>
          </cell>
          <cell r="U95" t="str">
            <v>ML.A7J1.N05.PM.0.PM</v>
          </cell>
        </row>
        <row r="96">
          <cell r="B96" t="str">
            <v>CLAMP FUEL SUPPLY No3</v>
          </cell>
          <cell r="D96">
            <v>6</v>
          </cell>
          <cell r="E96">
            <v>8790.7800000000007</v>
          </cell>
          <cell r="F96">
            <v>8000</v>
          </cell>
          <cell r="G96">
            <v>10</v>
          </cell>
          <cell r="I96">
            <v>8790.7800000000007</v>
          </cell>
          <cell r="J96">
            <v>8790.7800000000007</v>
          </cell>
          <cell r="K96">
            <v>8790.7800000000007</v>
          </cell>
          <cell r="L96">
            <v>8790.7800000000007</v>
          </cell>
          <cell r="M96">
            <v>8790.7800000000007</v>
          </cell>
          <cell r="N96">
            <v>8790.7800000000007</v>
          </cell>
          <cell r="O96">
            <v>8790.7800000000007</v>
          </cell>
          <cell r="Q96">
            <v>8790.7800000000007</v>
          </cell>
          <cell r="R96">
            <v>8790.7800000000007</v>
          </cell>
          <cell r="S96">
            <v>8790.7800000000007</v>
          </cell>
          <cell r="T96">
            <v>87907.8</v>
          </cell>
          <cell r="U96" t="str">
            <v>ML.A7J1.N06.PM.0.PM</v>
          </cell>
        </row>
        <row r="97">
          <cell r="B97" t="str">
            <v>CLAMP FUEL SUPPLY No4</v>
          </cell>
          <cell r="D97">
            <v>2</v>
          </cell>
          <cell r="E97">
            <v>10589.06</v>
          </cell>
          <cell r="F97">
            <v>8000</v>
          </cell>
          <cell r="G97">
            <v>10</v>
          </cell>
          <cell r="I97">
            <v>10589.06</v>
          </cell>
          <cell r="J97">
            <v>10589.06</v>
          </cell>
          <cell r="K97">
            <v>10589.06</v>
          </cell>
          <cell r="L97">
            <v>10589.06</v>
          </cell>
          <cell r="M97">
            <v>10589.06</v>
          </cell>
          <cell r="N97">
            <v>10589.06</v>
          </cell>
          <cell r="O97">
            <v>10589.06</v>
          </cell>
          <cell r="Q97">
            <v>10589.06</v>
          </cell>
          <cell r="R97">
            <v>10589.06</v>
          </cell>
          <cell r="S97">
            <v>10589.06</v>
          </cell>
          <cell r="T97">
            <v>105890.6</v>
          </cell>
          <cell r="U97" t="str">
            <v>ML.A7J1.N07.PM.0.PM</v>
          </cell>
        </row>
        <row r="98">
          <cell r="B98" t="str">
            <v>CLAMP FUEL SUPPLY No5</v>
          </cell>
          <cell r="D98">
            <v>2</v>
          </cell>
          <cell r="E98">
            <v>1784.8</v>
          </cell>
          <cell r="F98">
            <v>8000</v>
          </cell>
          <cell r="G98">
            <v>10</v>
          </cell>
          <cell r="I98">
            <v>1784.8</v>
          </cell>
          <cell r="J98">
            <v>1784.8</v>
          </cell>
          <cell r="K98">
            <v>1784.8</v>
          </cell>
          <cell r="L98">
            <v>1784.8</v>
          </cell>
          <cell r="M98">
            <v>1784.8</v>
          </cell>
          <cell r="N98">
            <v>1784.8</v>
          </cell>
          <cell r="O98">
            <v>1784.8</v>
          </cell>
          <cell r="Q98">
            <v>1784.8</v>
          </cell>
          <cell r="R98">
            <v>1784.8</v>
          </cell>
          <cell r="S98">
            <v>1784.8</v>
          </cell>
          <cell r="T98">
            <v>17848</v>
          </cell>
          <cell r="U98" t="str">
            <v>ML.A7J1.N08.PM.0.PM</v>
          </cell>
        </row>
        <row r="99">
          <cell r="B99" t="str">
            <v>CLAMP FUEL SUPPLY No6</v>
          </cell>
          <cell r="D99">
            <v>5</v>
          </cell>
          <cell r="E99">
            <v>5076.3500000000004</v>
          </cell>
          <cell r="F99">
            <v>8000</v>
          </cell>
          <cell r="G99">
            <v>10</v>
          </cell>
          <cell r="I99">
            <v>5076.3500000000004</v>
          </cell>
          <cell r="J99">
            <v>5076.3500000000004</v>
          </cell>
          <cell r="K99">
            <v>5076.3500000000004</v>
          </cell>
          <cell r="L99">
            <v>5076.3500000000004</v>
          </cell>
          <cell r="M99">
            <v>5076.3500000000004</v>
          </cell>
          <cell r="N99">
            <v>5076.3500000000004</v>
          </cell>
          <cell r="O99">
            <v>5076.3500000000004</v>
          </cell>
          <cell r="Q99">
            <v>5076.3500000000004</v>
          </cell>
          <cell r="R99">
            <v>5076.3500000000004</v>
          </cell>
          <cell r="S99">
            <v>5076.3500000000004</v>
          </cell>
          <cell r="T99">
            <v>50763.5</v>
          </cell>
          <cell r="U99" t="str">
            <v>ML.A7J1.N09.PM.0.PM</v>
          </cell>
        </row>
        <row r="100">
          <cell r="B100" t="str">
            <v>CLAMP FUEL SUPPLY No7</v>
          </cell>
          <cell r="D100">
            <v>7</v>
          </cell>
          <cell r="E100">
            <v>6661.9</v>
          </cell>
          <cell r="F100">
            <v>8000</v>
          </cell>
          <cell r="G100">
            <v>10</v>
          </cell>
          <cell r="I100">
            <v>6661.9</v>
          </cell>
          <cell r="J100">
            <v>6661.9</v>
          </cell>
          <cell r="K100">
            <v>6661.9</v>
          </cell>
          <cell r="L100">
            <v>6661.9</v>
          </cell>
          <cell r="M100">
            <v>6661.9</v>
          </cell>
          <cell r="N100">
            <v>6661.9</v>
          </cell>
          <cell r="O100">
            <v>6661.9</v>
          </cell>
          <cell r="Q100">
            <v>6661.9</v>
          </cell>
          <cell r="R100">
            <v>6661.9</v>
          </cell>
          <cell r="S100">
            <v>6661.9</v>
          </cell>
          <cell r="T100">
            <v>66619</v>
          </cell>
          <cell r="U100" t="str">
            <v>ML.A7J1.N10.PM.0.PM</v>
          </cell>
        </row>
        <row r="101">
          <cell r="B101" t="str">
            <v>CLAMP FUEL SUPPLY No8</v>
          </cell>
          <cell r="D101">
            <v>11</v>
          </cell>
          <cell r="E101">
            <v>6252.95</v>
          </cell>
          <cell r="F101">
            <v>8000</v>
          </cell>
          <cell r="G101">
            <v>10</v>
          </cell>
          <cell r="I101">
            <v>6252.95</v>
          </cell>
          <cell r="J101">
            <v>6252.95</v>
          </cell>
          <cell r="K101">
            <v>6252.95</v>
          </cell>
          <cell r="L101">
            <v>6252.95</v>
          </cell>
          <cell r="M101">
            <v>6252.95</v>
          </cell>
          <cell r="N101">
            <v>6252.95</v>
          </cell>
          <cell r="O101">
            <v>6252.95</v>
          </cell>
          <cell r="Q101">
            <v>6252.95</v>
          </cell>
          <cell r="R101">
            <v>6252.95</v>
          </cell>
          <cell r="S101">
            <v>6252.95</v>
          </cell>
          <cell r="T101">
            <v>62529.5</v>
          </cell>
          <cell r="U101" t="str">
            <v>ML.A7J1.N11.PM.0.PM</v>
          </cell>
        </row>
        <row r="102">
          <cell r="B102" t="str">
            <v>FUEL PRE-FILTER</v>
          </cell>
          <cell r="D102">
            <v>2</v>
          </cell>
          <cell r="E102">
            <v>9669.76</v>
          </cell>
          <cell r="F102">
            <v>500</v>
          </cell>
          <cell r="G102">
            <v>167</v>
          </cell>
          <cell r="H102">
            <v>135376.64000000001</v>
          </cell>
          <cell r="I102">
            <v>135376.64000000001</v>
          </cell>
          <cell r="J102">
            <v>135376.64000000001</v>
          </cell>
          <cell r="K102">
            <v>135376.64000000001</v>
          </cell>
          <cell r="L102">
            <v>135376.64000000001</v>
          </cell>
          <cell r="M102">
            <v>135376.64000000001</v>
          </cell>
          <cell r="N102">
            <v>135376.64000000001</v>
          </cell>
          <cell r="O102">
            <v>135376.64000000001</v>
          </cell>
          <cell r="P102">
            <v>135376.64000000001</v>
          </cell>
          <cell r="Q102">
            <v>135376.64000000001</v>
          </cell>
          <cell r="R102">
            <v>135376.64000000001</v>
          </cell>
          <cell r="S102">
            <v>125706.88</v>
          </cell>
          <cell r="T102">
            <v>1614849.92</v>
          </cell>
          <cell r="U102" t="str">
            <v>ML.A7W0.MIN.PM.0.PM</v>
          </cell>
        </row>
        <row r="103">
          <cell r="B103" t="str">
            <v>FUEL MAIN FILTER</v>
          </cell>
          <cell r="D103">
            <v>2</v>
          </cell>
          <cell r="E103">
            <v>5412.22</v>
          </cell>
          <cell r="F103">
            <v>1000</v>
          </cell>
          <cell r="G103">
            <v>83</v>
          </cell>
          <cell r="H103">
            <v>37885.54</v>
          </cell>
          <cell r="I103">
            <v>37885.54</v>
          </cell>
          <cell r="J103">
            <v>37885.54</v>
          </cell>
          <cell r="K103">
            <v>37885.54</v>
          </cell>
          <cell r="L103">
            <v>37885.54</v>
          </cell>
          <cell r="M103">
            <v>37885.54</v>
          </cell>
          <cell r="N103">
            <v>37885.54</v>
          </cell>
          <cell r="O103">
            <v>37885.54</v>
          </cell>
          <cell r="P103">
            <v>37885.54</v>
          </cell>
          <cell r="Q103">
            <v>37885.54</v>
          </cell>
          <cell r="R103">
            <v>37885.54</v>
          </cell>
          <cell r="S103">
            <v>32473.32</v>
          </cell>
          <cell r="T103">
            <v>449214.26</v>
          </cell>
          <cell r="U103" t="str">
            <v>ML.A7W0.N02.PM.0.PM</v>
          </cell>
        </row>
        <row r="104">
          <cell r="B104" t="str">
            <v>AIR CLEANER ELEMENT ASS'Y</v>
          </cell>
          <cell r="D104">
            <v>3</v>
          </cell>
          <cell r="E104">
            <v>16767.03</v>
          </cell>
          <cell r="F104">
            <v>2000</v>
          </cell>
          <cell r="G104">
            <v>41</v>
          </cell>
          <cell r="H104">
            <v>50301.09</v>
          </cell>
          <cell r="I104">
            <v>67068.12</v>
          </cell>
          <cell r="J104">
            <v>50301.09</v>
          </cell>
          <cell r="K104">
            <v>67068.12</v>
          </cell>
          <cell r="L104">
            <v>50301.09</v>
          </cell>
          <cell r="M104">
            <v>67068.12</v>
          </cell>
          <cell r="N104">
            <v>50301.09</v>
          </cell>
          <cell r="O104">
            <v>67068.12</v>
          </cell>
          <cell r="P104">
            <v>50301.09</v>
          </cell>
          <cell r="Q104">
            <v>67068.12</v>
          </cell>
          <cell r="R104">
            <v>50301.09</v>
          </cell>
          <cell r="S104">
            <v>50301.09</v>
          </cell>
          <cell r="T104">
            <v>687448.23</v>
          </cell>
          <cell r="U104" t="str">
            <v>ML.AA10.0.PM.0.PM</v>
          </cell>
        </row>
        <row r="105">
          <cell r="B105" t="str">
            <v>AIR CONDITIONER FRESH</v>
          </cell>
          <cell r="D105">
            <v>1</v>
          </cell>
          <cell r="E105">
            <v>3334.02</v>
          </cell>
          <cell r="F105">
            <v>2000</v>
          </cell>
          <cell r="G105">
            <v>41</v>
          </cell>
          <cell r="H105">
            <v>10002.06</v>
          </cell>
          <cell r="I105">
            <v>13336.08</v>
          </cell>
          <cell r="J105">
            <v>10002.06</v>
          </cell>
          <cell r="K105">
            <v>13336.08</v>
          </cell>
          <cell r="L105">
            <v>10002.06</v>
          </cell>
          <cell r="M105">
            <v>13336.08</v>
          </cell>
          <cell r="N105">
            <v>10002.06</v>
          </cell>
          <cell r="O105">
            <v>13336.08</v>
          </cell>
          <cell r="P105">
            <v>10002.06</v>
          </cell>
          <cell r="Q105">
            <v>13336.08</v>
          </cell>
          <cell r="R105">
            <v>10002.06</v>
          </cell>
          <cell r="S105">
            <v>10002.06</v>
          </cell>
          <cell r="T105">
            <v>136694.82</v>
          </cell>
          <cell r="U105" t="str">
            <v>ML.B@N3.N01.PM.0.PM</v>
          </cell>
        </row>
        <row r="106">
          <cell r="B106" t="str">
            <v>AIR CONDITIONER RECIRC</v>
          </cell>
          <cell r="D106">
            <v>1</v>
          </cell>
          <cell r="E106">
            <v>3334.02</v>
          </cell>
          <cell r="F106">
            <v>2000</v>
          </cell>
          <cell r="G106">
            <v>41</v>
          </cell>
          <cell r="H106">
            <v>10002.06</v>
          </cell>
          <cell r="I106">
            <v>13336.08</v>
          </cell>
          <cell r="J106">
            <v>10002.06</v>
          </cell>
          <cell r="K106">
            <v>13336.08</v>
          </cell>
          <cell r="L106">
            <v>10002.06</v>
          </cell>
          <cell r="M106">
            <v>13336.08</v>
          </cell>
          <cell r="N106">
            <v>10002.06</v>
          </cell>
          <cell r="O106">
            <v>13336.08</v>
          </cell>
          <cell r="P106">
            <v>10002.06</v>
          </cell>
          <cell r="Q106">
            <v>13336.08</v>
          </cell>
          <cell r="R106">
            <v>10002.06</v>
          </cell>
          <cell r="S106">
            <v>10002.06</v>
          </cell>
          <cell r="T106">
            <v>136694.82</v>
          </cell>
          <cell r="U106" t="str">
            <v>ML.B@N3.N02.PM.0.PM</v>
          </cell>
        </row>
        <row r="107">
          <cell r="B107" t="str">
            <v>BRAKE FILTER O-RING</v>
          </cell>
          <cell r="D107">
            <v>1</v>
          </cell>
          <cell r="E107">
            <v>138.75</v>
          </cell>
          <cell r="F107">
            <v>1000</v>
          </cell>
          <cell r="G107">
            <v>83</v>
          </cell>
          <cell r="H107">
            <v>971.25</v>
          </cell>
          <cell r="I107">
            <v>971.25</v>
          </cell>
          <cell r="J107">
            <v>971.25</v>
          </cell>
          <cell r="K107">
            <v>971.25</v>
          </cell>
          <cell r="L107">
            <v>971.25</v>
          </cell>
          <cell r="M107">
            <v>971.25</v>
          </cell>
          <cell r="N107">
            <v>971.25</v>
          </cell>
          <cell r="O107">
            <v>971.25</v>
          </cell>
          <cell r="P107">
            <v>971.25</v>
          </cell>
          <cell r="Q107">
            <v>971.25</v>
          </cell>
          <cell r="R107">
            <v>971.25</v>
          </cell>
          <cell r="S107">
            <v>832.5</v>
          </cell>
          <cell r="T107">
            <v>11516.25</v>
          </cell>
          <cell r="U107" t="str">
            <v>ML.B@N7.ACC.PM.0.PM</v>
          </cell>
        </row>
        <row r="108">
          <cell r="B108" t="str">
            <v>BRAKE COOLING O-RING</v>
          </cell>
          <cell r="D108">
            <v>2</v>
          </cell>
          <cell r="E108">
            <v>3294.56</v>
          </cell>
          <cell r="F108">
            <v>1000</v>
          </cell>
          <cell r="G108">
            <v>84</v>
          </cell>
          <cell r="H108">
            <v>26356.48</v>
          </cell>
          <cell r="I108">
            <v>23061.919999999998</v>
          </cell>
          <cell r="J108">
            <v>23061.919999999998</v>
          </cell>
          <cell r="K108">
            <v>23061.919999999998</v>
          </cell>
          <cell r="L108">
            <v>23061.919999999998</v>
          </cell>
          <cell r="M108">
            <v>23061.919999999998</v>
          </cell>
          <cell r="N108">
            <v>23061.919999999998</v>
          </cell>
          <cell r="O108">
            <v>23061.919999999998</v>
          </cell>
          <cell r="P108">
            <v>23061.919999999998</v>
          </cell>
          <cell r="Q108">
            <v>23061.919999999998</v>
          </cell>
          <cell r="R108">
            <v>23061.919999999998</v>
          </cell>
          <cell r="S108">
            <v>19767.36</v>
          </cell>
          <cell r="T108">
            <v>276743.03999999998</v>
          </cell>
          <cell r="U108" t="str">
            <v>ML.B@N7.MIN.PM.0.PM</v>
          </cell>
        </row>
        <row r="109">
          <cell r="B109" t="str">
            <v>BRAKE OIL FILTER BU RING</v>
          </cell>
          <cell r="D109">
            <v>1</v>
          </cell>
          <cell r="E109">
            <v>856.35</v>
          </cell>
          <cell r="F109">
            <v>1000</v>
          </cell>
          <cell r="G109">
            <v>83</v>
          </cell>
          <cell r="H109">
            <v>5994.45</v>
          </cell>
          <cell r="I109">
            <v>5994.45</v>
          </cell>
          <cell r="J109">
            <v>5994.45</v>
          </cell>
          <cell r="K109">
            <v>5994.45</v>
          </cell>
          <cell r="L109">
            <v>5994.45</v>
          </cell>
          <cell r="M109">
            <v>5994.45</v>
          </cell>
          <cell r="N109">
            <v>5994.45</v>
          </cell>
          <cell r="O109">
            <v>5994.45</v>
          </cell>
          <cell r="P109">
            <v>5994.45</v>
          </cell>
          <cell r="Q109">
            <v>5994.45</v>
          </cell>
          <cell r="R109">
            <v>5994.45</v>
          </cell>
          <cell r="S109">
            <v>5138.1000000000004</v>
          </cell>
          <cell r="T109">
            <v>71077.05</v>
          </cell>
          <cell r="U109" t="str">
            <v>ML.B@N7.N03.PM.0.PM</v>
          </cell>
        </row>
        <row r="110">
          <cell r="B110" t="str">
            <v>BRAKE OIL FILTER</v>
          </cell>
          <cell r="D110">
            <v>1</v>
          </cell>
          <cell r="E110">
            <v>634.45000000000005</v>
          </cell>
          <cell r="F110">
            <v>1000</v>
          </cell>
          <cell r="G110">
            <v>83</v>
          </cell>
          <cell r="H110">
            <v>4441.1499999999996</v>
          </cell>
          <cell r="I110">
            <v>4441.1499999999996</v>
          </cell>
          <cell r="J110">
            <v>4441.1499999999996</v>
          </cell>
          <cell r="K110">
            <v>4441.1499999999996</v>
          </cell>
          <cell r="L110">
            <v>4441.1499999999996</v>
          </cell>
          <cell r="M110">
            <v>4441.1499999999996</v>
          </cell>
          <cell r="N110">
            <v>4441.1499999999996</v>
          </cell>
          <cell r="O110">
            <v>4441.1499999999996</v>
          </cell>
          <cell r="P110">
            <v>4441.1499999999996</v>
          </cell>
          <cell r="Q110">
            <v>4441.1499999999996</v>
          </cell>
          <cell r="R110">
            <v>4441.1499999999996</v>
          </cell>
          <cell r="S110">
            <v>3806.7</v>
          </cell>
          <cell r="T110">
            <v>52659.35</v>
          </cell>
          <cell r="U110" t="str">
            <v>ML.B@N7.N10.PM.0.PM</v>
          </cell>
        </row>
        <row r="111">
          <cell r="A111" t="str">
            <v>PM Labor</v>
          </cell>
          <cell r="B111" t="str">
            <v>1000H PERIODIC SERVICE(PM LABOR)</v>
          </cell>
          <cell r="D111">
            <v>1</v>
          </cell>
          <cell r="E111">
            <v>4551.08</v>
          </cell>
          <cell r="F111">
            <v>1000</v>
          </cell>
          <cell r="G111">
            <v>83</v>
          </cell>
          <cell r="H111">
            <v>31857.61</v>
          </cell>
          <cell r="I111">
            <v>31857.61</v>
          </cell>
          <cell r="J111">
            <v>31857.61</v>
          </cell>
          <cell r="K111">
            <v>31857.61</v>
          </cell>
          <cell r="L111">
            <v>31857.61</v>
          </cell>
          <cell r="M111">
            <v>31857.61</v>
          </cell>
          <cell r="N111">
            <v>31857.61</v>
          </cell>
          <cell r="O111">
            <v>31857.61</v>
          </cell>
          <cell r="P111">
            <v>31857.61</v>
          </cell>
          <cell r="Q111">
            <v>31857.61</v>
          </cell>
          <cell r="R111">
            <v>31857.61</v>
          </cell>
          <cell r="S111">
            <v>27306.52</v>
          </cell>
          <cell r="T111">
            <v>377740.23</v>
          </cell>
          <cell r="U111" t="str">
            <v>MM.E@G0.0.PM.1000.PM</v>
          </cell>
        </row>
        <row r="112">
          <cell r="B112" t="str">
            <v>15000H PERIODIC SERVICE(PM LABOR)</v>
          </cell>
          <cell r="D112">
            <v>1</v>
          </cell>
          <cell r="E112">
            <v>713.89</v>
          </cell>
          <cell r="F112">
            <v>15000</v>
          </cell>
          <cell r="G112">
            <v>5</v>
          </cell>
          <cell r="J112">
            <v>713.9</v>
          </cell>
          <cell r="L112">
            <v>713.9</v>
          </cell>
          <cell r="N112">
            <v>713.9</v>
          </cell>
          <cell r="P112">
            <v>713.9</v>
          </cell>
          <cell r="R112">
            <v>713.9</v>
          </cell>
          <cell r="T112">
            <v>3569.5</v>
          </cell>
          <cell r="U112" t="str">
            <v>MM.E@G0.0.PM.15000.PM</v>
          </cell>
        </row>
        <row r="113">
          <cell r="B113" t="str">
            <v>2000H PERIODIC SERVICE(PM LABOR)</v>
          </cell>
          <cell r="D113">
            <v>1</v>
          </cell>
          <cell r="E113">
            <v>4908.03</v>
          </cell>
          <cell r="F113">
            <v>2000</v>
          </cell>
          <cell r="G113">
            <v>41</v>
          </cell>
          <cell r="H113">
            <v>14724.11</v>
          </cell>
          <cell r="I113">
            <v>19632.14</v>
          </cell>
          <cell r="J113">
            <v>14724.11</v>
          </cell>
          <cell r="K113">
            <v>19632.14</v>
          </cell>
          <cell r="L113">
            <v>14724.11</v>
          </cell>
          <cell r="M113">
            <v>19632.14</v>
          </cell>
          <cell r="N113">
            <v>14724.11</v>
          </cell>
          <cell r="O113">
            <v>19632.14</v>
          </cell>
          <cell r="P113">
            <v>14724.11</v>
          </cell>
          <cell r="Q113">
            <v>19632.14</v>
          </cell>
          <cell r="R113">
            <v>14724.11</v>
          </cell>
          <cell r="S113">
            <v>14724.11</v>
          </cell>
          <cell r="T113">
            <v>201229.47</v>
          </cell>
          <cell r="U113" t="str">
            <v>MM.E@G0.0.PM.2000.PM</v>
          </cell>
        </row>
        <row r="114">
          <cell r="B114" t="str">
            <v>250H PERIODIC SERVICE(PM LABOR)</v>
          </cell>
          <cell r="D114">
            <v>1</v>
          </cell>
          <cell r="E114">
            <v>446.18</v>
          </cell>
          <cell r="F114">
            <v>250</v>
          </cell>
          <cell r="G114">
            <v>335</v>
          </cell>
          <cell r="H114">
            <v>12493.18</v>
          </cell>
          <cell r="I114">
            <v>12493.18</v>
          </cell>
          <cell r="J114">
            <v>12493.18</v>
          </cell>
          <cell r="K114">
            <v>12493.18</v>
          </cell>
          <cell r="L114">
            <v>12493.18</v>
          </cell>
          <cell r="M114">
            <v>12493.18</v>
          </cell>
          <cell r="N114">
            <v>12493.18</v>
          </cell>
          <cell r="O114">
            <v>12493.18</v>
          </cell>
          <cell r="P114">
            <v>12493.18</v>
          </cell>
          <cell r="Q114">
            <v>12493.18</v>
          </cell>
          <cell r="R114">
            <v>12493.18</v>
          </cell>
          <cell r="S114">
            <v>12047</v>
          </cell>
          <cell r="T114">
            <v>149471.98000000001</v>
          </cell>
          <cell r="U114" t="str">
            <v>MM.E@G0.0.PM.250.PM</v>
          </cell>
        </row>
        <row r="115">
          <cell r="B115" t="str">
            <v>4000H PERIODIC SERVICE(PM LABOR)</v>
          </cell>
          <cell r="D115">
            <v>1</v>
          </cell>
          <cell r="E115">
            <v>4461.8500000000004</v>
          </cell>
          <cell r="F115">
            <v>4000</v>
          </cell>
          <cell r="G115">
            <v>20</v>
          </cell>
          <cell r="H115">
            <v>4461.8500000000004</v>
          </cell>
          <cell r="I115">
            <v>8923.7000000000007</v>
          </cell>
          <cell r="J115">
            <v>8923.7000000000007</v>
          </cell>
          <cell r="K115">
            <v>8923.7000000000007</v>
          </cell>
          <cell r="L115">
            <v>4461.8500000000004</v>
          </cell>
          <cell r="M115">
            <v>8923.7000000000007</v>
          </cell>
          <cell r="N115">
            <v>8923.7000000000007</v>
          </cell>
          <cell r="O115">
            <v>8923.7000000000007</v>
          </cell>
          <cell r="P115">
            <v>4461.8500000000004</v>
          </cell>
          <cell r="Q115">
            <v>8923.7000000000007</v>
          </cell>
          <cell r="R115">
            <v>8923.7000000000007</v>
          </cell>
          <cell r="S115">
            <v>4461.8500000000004</v>
          </cell>
          <cell r="T115">
            <v>89237</v>
          </cell>
          <cell r="U115" t="str">
            <v>MM.E@G0.0.PM.4000.PM</v>
          </cell>
        </row>
        <row r="116">
          <cell r="B116" t="str">
            <v>500H PERIODIC SERVICE(PM LABOR)</v>
          </cell>
          <cell r="D116">
            <v>1</v>
          </cell>
          <cell r="E116">
            <v>3569.48</v>
          </cell>
          <cell r="F116">
            <v>500</v>
          </cell>
          <cell r="G116">
            <v>167</v>
          </cell>
          <cell r="H116">
            <v>49972.72</v>
          </cell>
          <cell r="I116">
            <v>49972.72</v>
          </cell>
          <cell r="J116">
            <v>49972.72</v>
          </cell>
          <cell r="K116">
            <v>49972.72</v>
          </cell>
          <cell r="L116">
            <v>49972.72</v>
          </cell>
          <cell r="M116">
            <v>49972.72</v>
          </cell>
          <cell r="N116">
            <v>49972.72</v>
          </cell>
          <cell r="O116">
            <v>49972.72</v>
          </cell>
          <cell r="P116">
            <v>49972.72</v>
          </cell>
          <cell r="Q116">
            <v>49972.72</v>
          </cell>
          <cell r="R116">
            <v>49972.72</v>
          </cell>
          <cell r="S116">
            <v>46403.24</v>
          </cell>
          <cell r="T116">
            <v>596103.16</v>
          </cell>
          <cell r="U116" t="str">
            <v>MM.E@G0.0.PM.500.PM</v>
          </cell>
        </row>
        <row r="117">
          <cell r="B117" t="str">
            <v>8000H PERIODIC SERVICE(PM LABOR)</v>
          </cell>
          <cell r="D117">
            <v>1</v>
          </cell>
          <cell r="E117">
            <v>14724.1</v>
          </cell>
          <cell r="F117">
            <v>8000</v>
          </cell>
          <cell r="G117">
            <v>10</v>
          </cell>
          <cell r="I117">
            <v>14724.11</v>
          </cell>
          <cell r="J117">
            <v>14724.11</v>
          </cell>
          <cell r="K117">
            <v>14724.11</v>
          </cell>
          <cell r="L117">
            <v>14724.11</v>
          </cell>
          <cell r="M117">
            <v>14724.11</v>
          </cell>
          <cell r="N117">
            <v>14724.11</v>
          </cell>
          <cell r="O117">
            <v>14724.11</v>
          </cell>
          <cell r="Q117">
            <v>14724.11</v>
          </cell>
          <cell r="R117">
            <v>14724.11</v>
          </cell>
          <cell r="S117">
            <v>14724.11</v>
          </cell>
          <cell r="T117">
            <v>147241.1</v>
          </cell>
          <cell r="U117" t="str">
            <v>MM.E@G0.0.PM.8000.PM</v>
          </cell>
        </row>
        <row r="118">
          <cell r="A118" t="str">
            <v>PM Clinic</v>
          </cell>
          <cell r="B118" t="str">
            <v>PM CLINIC</v>
          </cell>
          <cell r="D118">
            <v>1</v>
          </cell>
          <cell r="E118">
            <v>1912.71</v>
          </cell>
          <cell r="F118">
            <v>500</v>
          </cell>
          <cell r="G118">
            <v>167</v>
          </cell>
          <cell r="H118">
            <v>26777.94</v>
          </cell>
          <cell r="I118">
            <v>26777.94</v>
          </cell>
          <cell r="J118">
            <v>26777.94</v>
          </cell>
          <cell r="K118">
            <v>26777.94</v>
          </cell>
          <cell r="L118">
            <v>26777.94</v>
          </cell>
          <cell r="M118">
            <v>26777.94</v>
          </cell>
          <cell r="N118">
            <v>26777.94</v>
          </cell>
          <cell r="O118">
            <v>26777.94</v>
          </cell>
          <cell r="P118">
            <v>26777.94</v>
          </cell>
          <cell r="Q118">
            <v>26777.94</v>
          </cell>
          <cell r="R118">
            <v>26777.94</v>
          </cell>
          <cell r="S118">
            <v>24865.23</v>
          </cell>
          <cell r="T118">
            <v>319422.57</v>
          </cell>
          <cell r="U118" t="str">
            <v>MO.E@10.0.PM.0.PM</v>
          </cell>
        </row>
        <row r="119">
          <cell r="A119" t="str">
            <v>Mainte. Total</v>
          </cell>
          <cell r="B119" t="str">
            <v>Cumulative Cost</v>
          </cell>
          <cell r="H119">
            <v>1464437.63</v>
          </cell>
          <cell r="I119">
            <v>2989995.6799999997</v>
          </cell>
          <cell r="J119">
            <v>4450874.38</v>
          </cell>
          <cell r="K119">
            <v>5976432.4299999997</v>
          </cell>
          <cell r="L119">
            <v>7395113.2899999991</v>
          </cell>
          <cell r="M119">
            <v>8920671.3399999999</v>
          </cell>
          <cell r="N119">
            <v>10381550.039999999</v>
          </cell>
          <cell r="O119">
            <v>11907108.09</v>
          </cell>
          <cell r="P119">
            <v>13264345.559999999</v>
          </cell>
          <cell r="Q119">
            <v>14789903.609999999</v>
          </cell>
          <cell r="R119">
            <v>16250782.309999999</v>
          </cell>
          <cell r="S119">
            <v>17560492.289999999</v>
          </cell>
          <cell r="T119">
            <v>17560492.289999999</v>
          </cell>
        </row>
        <row r="120">
          <cell r="B120" t="str">
            <v>Hourly Rate by period</v>
          </cell>
          <cell r="H120">
            <v>209.21</v>
          </cell>
          <cell r="I120">
            <v>217.94</v>
          </cell>
          <cell r="J120">
            <v>208.7</v>
          </cell>
          <cell r="K120">
            <v>217.94</v>
          </cell>
          <cell r="L120">
            <v>202.67</v>
          </cell>
          <cell r="M120">
            <v>217.94</v>
          </cell>
          <cell r="N120">
            <v>208.7</v>
          </cell>
          <cell r="O120">
            <v>217.94</v>
          </cell>
          <cell r="P120">
            <v>193.89</v>
          </cell>
          <cell r="Q120">
            <v>217.94</v>
          </cell>
          <cell r="R120">
            <v>208.7</v>
          </cell>
          <cell r="S120">
            <v>187.1</v>
          </cell>
        </row>
        <row r="121">
          <cell r="A121" t="str">
            <v>____________________</v>
          </cell>
          <cell r="B121" t="str">
            <v>Cumulative Hourly Rate</v>
          </cell>
          <cell r="H121">
            <v>209.21</v>
          </cell>
          <cell r="I121">
            <v>213.57</v>
          </cell>
          <cell r="J121">
            <v>211.95</v>
          </cell>
          <cell r="K121">
            <v>213.44</v>
          </cell>
          <cell r="L121">
            <v>211.29</v>
          </cell>
          <cell r="M121">
            <v>212.4</v>
          </cell>
          <cell r="N121">
            <v>211.87</v>
          </cell>
          <cell r="O121">
            <v>212.63</v>
          </cell>
          <cell r="P121">
            <v>210.55</v>
          </cell>
          <cell r="Q121">
            <v>211.28</v>
          </cell>
          <cell r="R121">
            <v>211.05</v>
          </cell>
          <cell r="S121">
            <v>209.05</v>
          </cell>
          <cell r="T121">
            <v>209.05</v>
          </cell>
        </row>
        <row r="122">
          <cell r="A122" t="str">
            <v>R&amp;M Total</v>
          </cell>
          <cell r="B122" t="str">
            <v>Cumulative Cost</v>
          </cell>
          <cell r="H122">
            <v>1550472.8099999998</v>
          </cell>
          <cell r="I122">
            <v>5487260.1999999993</v>
          </cell>
          <cell r="J122">
            <v>18996846.48</v>
          </cell>
          <cell r="K122">
            <v>22190262.579999998</v>
          </cell>
          <cell r="L122">
            <v>38726275.789999999</v>
          </cell>
          <cell r="M122">
            <v>59218166.329999998</v>
          </cell>
          <cell r="N122">
            <v>68394427.349999994</v>
          </cell>
          <cell r="O122">
            <v>82988505.349999994</v>
          </cell>
          <cell r="P122">
            <v>96499345.840000004</v>
          </cell>
          <cell r="Q122">
            <v>99985098.870000005</v>
          </cell>
          <cell r="R122">
            <v>113810013.05000001</v>
          </cell>
          <cell r="S122">
            <v>115193467.47000001</v>
          </cell>
          <cell r="T122">
            <v>115193467.47000001</v>
          </cell>
        </row>
        <row r="123">
          <cell r="B123" t="str">
            <v>Hourly Rate by period</v>
          </cell>
          <cell r="H123">
            <v>221.5</v>
          </cell>
          <cell r="I123">
            <v>562.4</v>
          </cell>
          <cell r="J123">
            <v>1929.94</v>
          </cell>
          <cell r="K123">
            <v>456.2</v>
          </cell>
          <cell r="L123">
            <v>2362.29</v>
          </cell>
          <cell r="M123">
            <v>2927.41</v>
          </cell>
          <cell r="N123">
            <v>1310.89</v>
          </cell>
          <cell r="O123">
            <v>2084.87</v>
          </cell>
          <cell r="P123">
            <v>1930.12</v>
          </cell>
          <cell r="Q123">
            <v>497.96</v>
          </cell>
          <cell r="R123">
            <v>1974.99</v>
          </cell>
          <cell r="S123">
            <v>197.64</v>
          </cell>
        </row>
        <row r="124">
          <cell r="A124" t="str">
            <v>____________________</v>
          </cell>
          <cell r="B124" t="str">
            <v>Cumulative Hourly Rate</v>
          </cell>
          <cell r="H124">
            <v>221.5</v>
          </cell>
          <cell r="I124">
            <v>391.95</v>
          </cell>
          <cell r="J124">
            <v>904.61</v>
          </cell>
          <cell r="K124">
            <v>792.51</v>
          </cell>
          <cell r="L124">
            <v>1106.47</v>
          </cell>
          <cell r="M124">
            <v>1409.96</v>
          </cell>
          <cell r="N124">
            <v>1395.8</v>
          </cell>
          <cell r="O124">
            <v>1481.94</v>
          </cell>
          <cell r="P124">
            <v>1531.74</v>
          </cell>
          <cell r="Q124">
            <v>1428.36</v>
          </cell>
          <cell r="R124">
            <v>1478.05</v>
          </cell>
          <cell r="S124">
            <v>1371.35</v>
          </cell>
          <cell r="T124">
            <v>1371.35</v>
          </cell>
        </row>
        <row r="125">
          <cell r="A125" t="str">
            <v>Availability(%)</v>
          </cell>
          <cell r="H125">
            <v>98.9</v>
          </cell>
          <cell r="I125">
            <v>98.1</v>
          </cell>
          <cell r="J125">
            <v>96.7</v>
          </cell>
          <cell r="K125">
            <v>98.4</v>
          </cell>
          <cell r="L125">
            <v>97.1</v>
          </cell>
          <cell r="M125">
            <v>96.4</v>
          </cell>
          <cell r="N125">
            <v>97.7</v>
          </cell>
          <cell r="O125">
            <v>97.7</v>
          </cell>
          <cell r="P125">
            <v>97.1</v>
          </cell>
          <cell r="Q125">
            <v>97.9</v>
          </cell>
          <cell r="R125">
            <v>97.7</v>
          </cell>
          <cell r="S125">
            <v>99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387EA-58FF-475C-A4A3-0567558257A1}">
  <sheetPr codeName="Лист1">
    <pageSetUpPr fitToPage="1"/>
  </sheetPr>
  <dimension ref="A1:AG707"/>
  <sheetViews>
    <sheetView tabSelected="1" view="pageBreakPreview" topLeftCell="A14" zoomScale="85" zoomScaleNormal="100" zoomScaleSheetLayoutView="85" workbookViewId="0">
      <selection activeCell="J23" sqref="J23"/>
    </sheetView>
  </sheetViews>
  <sheetFormatPr defaultColWidth="9.1796875" defaultRowHeight="12.5" x14ac:dyDescent="0.25"/>
  <cols>
    <col min="1" max="1" width="4.54296875" style="4" customWidth="1"/>
    <col min="2" max="4" width="6.453125" style="9" customWidth="1"/>
    <col min="5" max="5" width="5.453125" style="9" customWidth="1"/>
    <col min="6" max="6" width="9.1796875" style="9" bestFit="1" customWidth="1"/>
    <col min="7" max="7" width="10.54296875" style="9" customWidth="1"/>
    <col min="8" max="8" width="10.54296875" style="4" customWidth="1"/>
    <col min="9" max="9" width="7.54296875" style="4" customWidth="1"/>
    <col min="10" max="10" width="9.453125" style="4" customWidth="1"/>
    <col min="11" max="13" width="7.54296875" style="4" customWidth="1"/>
    <col min="14" max="14" width="9.1796875" style="4" customWidth="1"/>
    <col min="15" max="16" width="7.54296875" style="4" customWidth="1"/>
    <col min="17" max="17" width="8.54296875" style="4" customWidth="1"/>
    <col min="18" max="18" width="27.90625" style="4" customWidth="1"/>
    <col min="19" max="21" width="9.1796875" style="4"/>
    <col min="22" max="22" width="9.1796875" style="6" customWidth="1"/>
    <col min="23" max="25" width="13.54296875" style="7" customWidth="1"/>
    <col min="26" max="26" width="6.54296875" style="4" customWidth="1"/>
    <col min="27" max="27" width="24.1796875" style="8" bestFit="1" customWidth="1"/>
    <col min="28" max="28" width="19.54296875" style="8" customWidth="1"/>
    <col min="29" max="16384" width="9.1796875" style="4"/>
  </cols>
  <sheetData>
    <row r="1" spans="1:30" ht="13" x14ac:dyDescent="0.3">
      <c r="A1" s="1" t="s">
        <v>35</v>
      </c>
      <c r="B1" s="2"/>
      <c r="C1" s="2"/>
      <c r="D1" s="2"/>
      <c r="E1" s="2"/>
      <c r="F1" s="2"/>
      <c r="G1" s="2"/>
      <c r="H1" s="3"/>
      <c r="I1" s="3"/>
      <c r="J1" s="3"/>
      <c r="K1" s="3"/>
      <c r="L1" s="3"/>
      <c r="M1" s="3"/>
      <c r="N1" s="3"/>
      <c r="O1" s="3"/>
      <c r="P1" s="3"/>
      <c r="R1" s="4" t="str">
        <f>H7</f>
        <v>Погрузка</v>
      </c>
      <c r="S1" s="5">
        <f>H9</f>
        <v>52.708814028610853</v>
      </c>
    </row>
    <row r="2" spans="1:30" x14ac:dyDescent="0.25">
      <c r="R2" s="4" t="str">
        <f>I7</f>
        <v>Очистка зоны погрузки</v>
      </c>
      <c r="S2" s="5">
        <f>I9</f>
        <v>0</v>
      </c>
    </row>
    <row r="3" spans="1:30" ht="13" x14ac:dyDescent="0.3">
      <c r="A3" s="4" t="s">
        <v>0</v>
      </c>
      <c r="G3" s="10" t="s">
        <v>34</v>
      </c>
      <c r="K3" s="4" t="s">
        <v>1</v>
      </c>
      <c r="M3" s="11" t="s">
        <v>36</v>
      </c>
      <c r="R3" s="11" t="str">
        <f>J7</f>
        <v>Обработка уступа</v>
      </c>
      <c r="S3" s="5">
        <f>J9</f>
        <v>2.8057221965850632</v>
      </c>
    </row>
    <row r="4" spans="1:30" ht="13" x14ac:dyDescent="0.3">
      <c r="A4" s="4" t="s">
        <v>2</v>
      </c>
      <c r="G4" s="10" t="s">
        <v>33</v>
      </c>
      <c r="K4" s="66"/>
      <c r="R4" s="4" t="str">
        <f>K7</f>
        <v>Набор 1-го ковша</v>
      </c>
      <c r="S4" s="5">
        <f>K9</f>
        <v>14.757729580064833</v>
      </c>
    </row>
    <row r="5" spans="1:30" x14ac:dyDescent="0.25">
      <c r="R5" s="4" t="str">
        <f>L7</f>
        <v>Подготовка уступа</v>
      </c>
      <c r="S5" s="5">
        <f>L9</f>
        <v>0</v>
      </c>
    </row>
    <row r="6" spans="1:30" x14ac:dyDescent="0.25">
      <c r="A6" s="85" t="s">
        <v>3</v>
      </c>
      <c r="B6" s="85"/>
      <c r="C6" s="86"/>
      <c r="D6" s="88" t="s">
        <v>25</v>
      </c>
      <c r="E6" s="83" t="s">
        <v>4</v>
      </c>
      <c r="F6" s="85"/>
      <c r="G6" s="83" t="s">
        <v>5</v>
      </c>
      <c r="H6" s="67">
        <v>1</v>
      </c>
      <c r="I6" s="67">
        <v>2</v>
      </c>
      <c r="J6" s="67">
        <v>3</v>
      </c>
      <c r="K6" s="67">
        <v>4</v>
      </c>
      <c r="L6" s="67">
        <v>5</v>
      </c>
      <c r="M6" s="67">
        <v>6</v>
      </c>
      <c r="N6" s="67">
        <v>7</v>
      </c>
      <c r="O6" s="67">
        <v>8</v>
      </c>
      <c r="P6" s="67">
        <v>9</v>
      </c>
      <c r="R6" s="4" t="str">
        <f>M7</f>
        <v>Передвижение</v>
      </c>
      <c r="S6" s="5">
        <f>M9</f>
        <v>1.1536686663590989</v>
      </c>
    </row>
    <row r="7" spans="1:30" ht="58.5" customHeight="1" x14ac:dyDescent="0.25">
      <c r="A7" s="85"/>
      <c r="B7" s="85"/>
      <c r="C7" s="87"/>
      <c r="D7" s="89"/>
      <c r="E7" s="83"/>
      <c r="F7" s="85"/>
      <c r="G7" s="83"/>
      <c r="H7" s="68" t="str">
        <f>H14</f>
        <v>Погрузка</v>
      </c>
      <c r="I7" s="80" t="str">
        <f t="shared" ref="I7:P7" si="0">I14</f>
        <v>Очистка зоны погрузки</v>
      </c>
      <c r="J7" s="80" t="str">
        <f t="shared" si="0"/>
        <v>Обработка уступа</v>
      </c>
      <c r="K7" s="80" t="str">
        <f t="shared" si="0"/>
        <v>Набор 1-го ковша</v>
      </c>
      <c r="L7" s="80" t="str">
        <f t="shared" si="0"/>
        <v>Подготовка уступа</v>
      </c>
      <c r="M7" s="80" t="str">
        <f t="shared" si="0"/>
        <v>Передвижение</v>
      </c>
      <c r="N7" s="80" t="str">
        <f t="shared" si="0"/>
        <v>Ожидание самосвала</v>
      </c>
      <c r="O7" s="80" t="str">
        <f t="shared" si="0"/>
        <v xml:space="preserve">Простой </v>
      </c>
      <c r="P7" s="80" t="str">
        <f t="shared" si="0"/>
        <v>Другие</v>
      </c>
      <c r="R7" s="4" t="str">
        <f>N7</f>
        <v>Ожидание самосвала</v>
      </c>
      <c r="S7" s="5">
        <f>N9</f>
        <v>13.724042455006707</v>
      </c>
    </row>
    <row r="8" spans="1:30" x14ac:dyDescent="0.25">
      <c r="A8" s="84" t="s">
        <v>13</v>
      </c>
      <c r="B8" s="84"/>
      <c r="C8" s="84"/>
      <c r="D8" s="84"/>
      <c r="E8" s="84"/>
      <c r="F8" s="85"/>
      <c r="G8" s="12">
        <f>SUM(H8:P8)</f>
        <v>0.12540509259259258</v>
      </c>
      <c r="H8" s="13">
        <f>SUM(H15:H707)</f>
        <v>6.609953703703686E-2</v>
      </c>
      <c r="I8" s="13">
        <f>SUM(I15:I707)</f>
        <v>0</v>
      </c>
      <c r="J8" s="13">
        <f t="shared" ref="J8:P8" si="1">SUM(J15:J707)</f>
        <v>3.5185185185184209E-3</v>
      </c>
      <c r="K8" s="13">
        <f t="shared" si="1"/>
        <v>1.8506944444444728E-2</v>
      </c>
      <c r="L8" s="13">
        <f t="shared" si="1"/>
        <v>0</v>
      </c>
      <c r="M8" s="13">
        <f t="shared" si="1"/>
        <v>1.4467592592593559E-3</v>
      </c>
      <c r="N8" s="13">
        <f t="shared" si="1"/>
        <v>1.7210648148147878E-2</v>
      </c>
      <c r="O8" s="13">
        <f t="shared" si="1"/>
        <v>1.8622685185185339E-2</v>
      </c>
      <c r="P8" s="13">
        <f t="shared" si="1"/>
        <v>0</v>
      </c>
      <c r="R8" s="4" t="str">
        <f>O7</f>
        <v xml:space="preserve">Простой </v>
      </c>
      <c r="S8" s="5">
        <f>O9</f>
        <v>14.85002307337345</v>
      </c>
    </row>
    <row r="9" spans="1:30" x14ac:dyDescent="0.25">
      <c r="A9" s="84" t="s">
        <v>14</v>
      </c>
      <c r="B9" s="84"/>
      <c r="C9" s="84"/>
      <c r="D9" s="84"/>
      <c r="E9" s="84"/>
      <c r="F9" s="84"/>
      <c r="G9" s="84"/>
      <c r="H9" s="14">
        <f>H8/G8*100</f>
        <v>52.708814028610853</v>
      </c>
      <c r="I9" s="14">
        <f>I8/G8*100</f>
        <v>0</v>
      </c>
      <c r="J9" s="14">
        <f>J8/G8*100</f>
        <v>2.8057221965850632</v>
      </c>
      <c r="K9" s="14">
        <f>K8/G8*100</f>
        <v>14.757729580064833</v>
      </c>
      <c r="L9" s="14">
        <f>L8/G8*100</f>
        <v>0</v>
      </c>
      <c r="M9" s="14">
        <f>M8/G8*100</f>
        <v>1.1536686663590989</v>
      </c>
      <c r="N9" s="14">
        <f>N8/G8*100</f>
        <v>13.724042455006707</v>
      </c>
      <c r="O9" s="14">
        <f>O8/G8*100</f>
        <v>14.85002307337345</v>
      </c>
      <c r="P9" s="51">
        <f>P8/G8*100</f>
        <v>0</v>
      </c>
      <c r="R9" s="4" t="str">
        <f>P7</f>
        <v>Другие</v>
      </c>
      <c r="S9" s="5">
        <f>P9</f>
        <v>0</v>
      </c>
    </row>
    <row r="10" spans="1:30" ht="15" customHeight="1" x14ac:dyDescent="0.25"/>
    <row r="11" spans="1:30" ht="13" x14ac:dyDescent="0.3">
      <c r="A11" s="4" t="s">
        <v>15</v>
      </c>
      <c r="H11" s="15">
        <f>H9</f>
        <v>52.708814028610853</v>
      </c>
      <c r="I11" s="4" t="s">
        <v>16</v>
      </c>
      <c r="J11" s="81"/>
    </row>
    <row r="12" spans="1:30" ht="13" x14ac:dyDescent="0.3">
      <c r="AA12" s="16"/>
      <c r="AB12" s="17"/>
      <c r="AC12" s="11"/>
    </row>
    <row r="13" spans="1:30" ht="30" customHeight="1" x14ac:dyDescent="0.25">
      <c r="A13" s="85" t="s">
        <v>3</v>
      </c>
      <c r="B13" s="91" t="s">
        <v>39</v>
      </c>
      <c r="C13" s="91" t="s">
        <v>53</v>
      </c>
      <c r="D13" s="88" t="s">
        <v>17</v>
      </c>
      <c r="E13" s="91" t="s">
        <v>4</v>
      </c>
      <c r="F13" s="92"/>
      <c r="G13" s="91" t="s">
        <v>5</v>
      </c>
      <c r="H13" s="67">
        <v>1</v>
      </c>
      <c r="I13" s="67">
        <v>2</v>
      </c>
      <c r="J13" s="67">
        <v>3</v>
      </c>
      <c r="K13" s="67">
        <v>4</v>
      </c>
      <c r="L13" s="67">
        <v>5</v>
      </c>
      <c r="M13" s="67">
        <v>6</v>
      </c>
      <c r="N13" s="67">
        <v>7</v>
      </c>
      <c r="O13" s="67">
        <v>8</v>
      </c>
      <c r="P13" s="67">
        <v>9</v>
      </c>
      <c r="R13" s="81"/>
    </row>
    <row r="14" spans="1:30" ht="67.5" customHeight="1" x14ac:dyDescent="0.25">
      <c r="A14" s="85"/>
      <c r="B14" s="91"/>
      <c r="C14" s="91"/>
      <c r="D14" s="89"/>
      <c r="E14" s="91"/>
      <c r="F14" s="92"/>
      <c r="G14" s="91"/>
      <c r="H14" s="68" t="s">
        <v>6</v>
      </c>
      <c r="I14" s="68" t="s">
        <v>7</v>
      </c>
      <c r="J14" s="68" t="s">
        <v>8</v>
      </c>
      <c r="K14" s="72" t="s">
        <v>38</v>
      </c>
      <c r="L14" s="68" t="s">
        <v>9</v>
      </c>
      <c r="M14" s="68" t="s">
        <v>10</v>
      </c>
      <c r="N14" s="68" t="s">
        <v>11</v>
      </c>
      <c r="O14" s="68" t="s">
        <v>18</v>
      </c>
      <c r="P14" s="68" t="s">
        <v>12</v>
      </c>
      <c r="Q14" s="67" t="s">
        <v>19</v>
      </c>
      <c r="W14" s="7" t="s">
        <v>20</v>
      </c>
      <c r="AA14" s="8" t="s">
        <v>21</v>
      </c>
      <c r="AB14" s="8" t="s">
        <v>22</v>
      </c>
      <c r="AC14" s="18" t="s">
        <v>23</v>
      </c>
      <c r="AD14" s="18"/>
    </row>
    <row r="15" spans="1:30" ht="13" x14ac:dyDescent="0.25">
      <c r="A15" s="90" t="s">
        <v>24</v>
      </c>
      <c r="B15" s="90"/>
      <c r="C15" s="90"/>
      <c r="D15" s="90"/>
      <c r="E15" s="90"/>
      <c r="F15" s="67">
        <v>72543</v>
      </c>
      <c r="G15" s="12">
        <f>IF(LEN(F15)=5,TIMEVALUE(LEFT(F15,1)&amp;":"&amp;MID(F15,2,2)&amp;":"&amp;RIGHT(F15,2)),IF(LEN(F15)=6,TIMEVALUE(LEFT(F15,2)&amp;":"&amp;MID(F15,3,2)&amp;":"&amp;RIGHT(F15,2)),""))</f>
        <v>0.30952546296296296</v>
      </c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39" t="e">
        <f>#REF!=IF(H15="","",HOUR(H15)*60+MINUTE(H15)+SECOND(H15)/60)</f>
        <v>#REF!</v>
      </c>
      <c r="S15" s="78"/>
      <c r="T15" s="20"/>
      <c r="U15" s="21"/>
      <c r="V15" s="12"/>
      <c r="W15" s="22" t="str">
        <f t="shared" ref="W15:W78" si="2">_xlfn.IFS(V15="","",SECOND(V15)&lt;10,"",  (HOUR(V15)*3600+MINUTE(V15)*60+SECOND(V15))&gt;60,"", (HOUR(V15)*3600+MINUTE(V15)*60+SECOND(V15))&lt;60, HOUR(V15)*3600+MINUTE(V15)*60+SECOND(V15))</f>
        <v/>
      </c>
      <c r="X15" s="22"/>
      <c r="Y15" s="22"/>
      <c r="Z15" s="23">
        <v>1</v>
      </c>
      <c r="AA15" s="24"/>
      <c r="AB15" s="24">
        <v>130</v>
      </c>
      <c r="AC15" s="25"/>
      <c r="AD15" s="4">
        <v>168.5</v>
      </c>
    </row>
    <row r="16" spans="1:30" ht="13" x14ac:dyDescent="0.25">
      <c r="A16" s="67">
        <v>1</v>
      </c>
      <c r="B16" s="67"/>
      <c r="C16" s="67"/>
      <c r="D16" s="67"/>
      <c r="E16" s="67">
        <v>6</v>
      </c>
      <c r="F16" s="67">
        <v>72642</v>
      </c>
      <c r="G16" s="12">
        <f>IF(LEN(F16)=5,TIMEVALUE(LEFT(F16,1)&amp;":"&amp;MID(F16,2,2)&amp;":"&amp;RIGHT(F16,2)),IF(LEN(F16)=6,TIMEVALUE(LEFT(F16,2)&amp;":"&amp;MID(F16,3,2)&amp;":"&amp;RIGHT(F16,2)),""))</f>
        <v>0.31020833333333336</v>
      </c>
      <c r="H16" s="19" t="str">
        <f>IFERROR(IF(E16=1,Q16,""),"")</f>
        <v/>
      </c>
      <c r="I16" s="19" t="str">
        <f>IFERROR(IF(E16=2,Q16,""),"")</f>
        <v/>
      </c>
      <c r="J16" s="19" t="str">
        <f>IFERROR(IF(E16=3,Q16,""),"")</f>
        <v/>
      </c>
      <c r="K16" s="19" t="str">
        <f>IFERROR(IF(E16=4,Q16,""),"")</f>
        <v/>
      </c>
      <c r="L16" s="19" t="str">
        <f>IFERROR(IF(E16=5,Q16,""),"")</f>
        <v/>
      </c>
      <c r="M16" s="19">
        <f>IFERROR(IF(E16=6,Q16,""),"")</f>
        <v>6.828703703704031E-4</v>
      </c>
      <c r="N16" s="19" t="str">
        <f>IFERROR(IF(E16=7,Q16,""),"")</f>
        <v/>
      </c>
      <c r="O16" s="19" t="str">
        <f>IFERROR(IF(E16=8,Q16,""),"")</f>
        <v/>
      </c>
      <c r="P16" s="19" t="str">
        <f>IFERROR(IF(E16=9,Q16,""),"")</f>
        <v/>
      </c>
      <c r="Q16" s="12">
        <f>G16-G15</f>
        <v>6.828703703704031E-4</v>
      </c>
      <c r="R16" s="39" t="str">
        <f>IF(H16="","",HOUR(H16)*60+MINUTE(H16)+SECOND(H16)/60)</f>
        <v/>
      </c>
      <c r="S16" s="78"/>
      <c r="T16" s="20"/>
      <c r="U16" s="21"/>
      <c r="V16" s="12" t="str">
        <f>H16</f>
        <v/>
      </c>
      <c r="W16" s="22" t="str">
        <f t="shared" si="2"/>
        <v/>
      </c>
      <c r="X16" s="22"/>
      <c r="Y16" s="22"/>
      <c r="Z16" s="23">
        <v>2</v>
      </c>
      <c r="AA16" s="24"/>
      <c r="AB16" s="24">
        <v>122</v>
      </c>
      <c r="AC16" s="25"/>
      <c r="AD16" s="4">
        <v>168.5</v>
      </c>
    </row>
    <row r="17" spans="1:30" ht="13" x14ac:dyDescent="0.25">
      <c r="A17" s="67">
        <v>2</v>
      </c>
      <c r="B17" s="67"/>
      <c r="C17" s="67"/>
      <c r="D17" s="50"/>
      <c r="E17" s="67">
        <v>4</v>
      </c>
      <c r="F17" s="67">
        <v>72651</v>
      </c>
      <c r="G17" s="12">
        <f t="shared" ref="G17:G80" si="3">IF(LEN(F17)=5,TIMEVALUE(LEFT(F17,1)&amp;":"&amp;MID(F17,2,2)&amp;":"&amp;RIGHT(F17,2)),IF(LEN(F17)=6,TIMEVALUE(LEFT(F17,2)&amp;":"&amp;MID(F17,3,2)&amp;":"&amp;RIGHT(F17,2)),""))</f>
        <v>0.31031249999999999</v>
      </c>
      <c r="H17" s="19" t="str">
        <f>IFERROR(IF(E17=1,Q17,""),"")</f>
        <v/>
      </c>
      <c r="I17" s="19" t="str">
        <f>IFERROR(IF(E17=2,Q17,""),"")</f>
        <v/>
      </c>
      <c r="J17" s="19" t="str">
        <f>IFERROR(IF(E17=3,Q17,""),"")</f>
        <v/>
      </c>
      <c r="K17" s="19">
        <f>IFERROR(IF(E17=4,Q17,""),"")</f>
        <v>1.0416666666662744E-4</v>
      </c>
      <c r="L17" s="19" t="str">
        <f>IFERROR(IF(E17=5,Q17,""),"")</f>
        <v/>
      </c>
      <c r="M17" s="19" t="str">
        <f>IFERROR(IF(E17=6,Q17,""),"")</f>
        <v/>
      </c>
      <c r="N17" s="19" t="str">
        <f>IFERROR(IF(E17=7,Q17,""),"")</f>
        <v/>
      </c>
      <c r="O17" s="19" t="str">
        <f>IFERROR(IF(E17=8,Q17,""),"")</f>
        <v/>
      </c>
      <c r="P17" s="19" t="str">
        <f>IFERROR(IF(E17=9,Q17,""),"")</f>
        <v/>
      </c>
      <c r="Q17" s="12">
        <f>G17-G16</f>
        <v>1.0416666666662744E-4</v>
      </c>
      <c r="R17" s="39" t="str">
        <f t="shared" ref="R17:R18" si="4">IF(H17="","",HOUR(H17)*60+MINUTE(H17)+SECOND(H17)/60)</f>
        <v/>
      </c>
      <c r="S17" s="78"/>
      <c r="T17" s="20"/>
      <c r="U17" s="21"/>
      <c r="V17" s="12" t="str">
        <f t="shared" ref="V17:V80" si="5">H17</f>
        <v/>
      </c>
      <c r="W17" s="22" t="str">
        <f t="shared" si="2"/>
        <v/>
      </c>
      <c r="X17" s="22"/>
      <c r="Y17" s="22"/>
      <c r="Z17" s="23">
        <v>3</v>
      </c>
      <c r="AA17" s="24"/>
      <c r="AB17" s="24">
        <v>159</v>
      </c>
      <c r="AC17" s="25"/>
      <c r="AD17" s="4">
        <v>158.69999999999999</v>
      </c>
    </row>
    <row r="18" spans="1:30" ht="13" x14ac:dyDescent="0.3">
      <c r="A18" s="67">
        <v>3</v>
      </c>
      <c r="B18" s="67" t="s">
        <v>54</v>
      </c>
      <c r="C18" s="50"/>
      <c r="D18" s="49">
        <v>5</v>
      </c>
      <c r="E18" s="67">
        <v>7</v>
      </c>
      <c r="F18" s="67">
        <v>72714</v>
      </c>
      <c r="G18" s="12">
        <f t="shared" si="3"/>
        <v>0.31057870370370372</v>
      </c>
      <c r="H18" s="19" t="str">
        <f t="shared" ref="H18:H81" si="6">IFERROR(IF(E18=1,Q18,""),"")</f>
        <v/>
      </c>
      <c r="I18" s="19" t="str">
        <f t="shared" ref="I18:I81" si="7">IFERROR(IF(E18=2,Q18,""),"")</f>
        <v/>
      </c>
      <c r="J18" s="19" t="str">
        <f t="shared" ref="J18:J81" si="8">IFERROR(IF(E18=3,Q18,""),"")</f>
        <v/>
      </c>
      <c r="K18" s="19" t="str">
        <f t="shared" ref="K18:K81" si="9">IFERROR(IF(E18=4,Q18,""),"")</f>
        <v/>
      </c>
      <c r="L18" s="19" t="str">
        <f t="shared" ref="L18:L81" si="10">IFERROR(IF(E18=5,Q18,""),"")</f>
        <v/>
      </c>
      <c r="M18" s="19" t="str">
        <f t="shared" ref="M18:M81" si="11">IFERROR(IF(E18=6,Q18,""),"")</f>
        <v/>
      </c>
      <c r="N18" s="19">
        <f t="shared" ref="N18:N81" si="12">IFERROR(IF(E18=7,Q18,""),"")</f>
        <v>2.6620370370372681E-4</v>
      </c>
      <c r="O18" s="19" t="str">
        <f t="shared" ref="O18:O81" si="13">IFERROR(IF(E18=8,Q18,""),"")</f>
        <v/>
      </c>
      <c r="P18" s="19" t="str">
        <f t="shared" ref="P18:P81" si="14">IFERROR(IF(E18=9,Q18,""),"")</f>
        <v/>
      </c>
      <c r="Q18" s="12">
        <f t="shared" ref="Q18:Q81" si="15">G18-G17</f>
        <v>2.6620370370372681E-4</v>
      </c>
      <c r="R18" s="39" t="str">
        <f t="shared" si="4"/>
        <v/>
      </c>
      <c r="S18" s="78"/>
      <c r="T18" s="20"/>
      <c r="U18" s="21"/>
      <c r="V18" s="12" t="str">
        <f t="shared" si="5"/>
        <v/>
      </c>
      <c r="W18" s="22" t="str">
        <f t="shared" si="2"/>
        <v/>
      </c>
      <c r="X18" s="22"/>
      <c r="Y18" s="22"/>
      <c r="Z18" s="23">
        <v>4</v>
      </c>
      <c r="AA18" s="24"/>
      <c r="AB18" s="27">
        <v>212</v>
      </c>
      <c r="AC18" s="28"/>
      <c r="AD18" s="11">
        <v>177.6</v>
      </c>
    </row>
    <row r="19" spans="1:30" ht="13" x14ac:dyDescent="0.3">
      <c r="A19" s="67">
        <v>4</v>
      </c>
      <c r="B19" s="48"/>
      <c r="C19" s="49"/>
      <c r="D19" s="45"/>
      <c r="E19" s="67">
        <v>1</v>
      </c>
      <c r="F19" s="67">
        <v>72718</v>
      </c>
      <c r="G19" s="12">
        <f t="shared" si="3"/>
        <v>0.31062499999999998</v>
      </c>
      <c r="H19" s="19">
        <f t="shared" si="6"/>
        <v>4.6296296296266526E-5</v>
      </c>
      <c r="I19" s="19" t="str">
        <f t="shared" si="7"/>
        <v/>
      </c>
      <c r="J19" s="19" t="str">
        <f t="shared" si="8"/>
        <v/>
      </c>
      <c r="K19" s="19" t="str">
        <f t="shared" si="9"/>
        <v/>
      </c>
      <c r="L19" s="19" t="str">
        <f t="shared" si="10"/>
        <v/>
      </c>
      <c r="M19" s="19" t="str">
        <f t="shared" si="11"/>
        <v/>
      </c>
      <c r="N19" s="19" t="str">
        <f t="shared" si="12"/>
        <v/>
      </c>
      <c r="O19" s="19" t="str">
        <f t="shared" si="13"/>
        <v/>
      </c>
      <c r="P19" s="19" t="str">
        <f t="shared" si="14"/>
        <v/>
      </c>
      <c r="Q19" s="12">
        <f t="shared" si="15"/>
        <v>4.6296296296266526E-5</v>
      </c>
      <c r="R19" s="39">
        <f>IF(H19="","",HOUR(H19)*60+MINUTE(H19)+SECOND(H19)/60)</f>
        <v>6.6666666666666666E-2</v>
      </c>
      <c r="S19" s="79"/>
      <c r="T19" s="29"/>
      <c r="U19" s="21"/>
      <c r="V19" s="12">
        <f t="shared" si="5"/>
        <v>4.6296296296266526E-5</v>
      </c>
      <c r="W19" s="22" t="str">
        <f t="shared" si="2"/>
        <v/>
      </c>
      <c r="X19" s="22"/>
      <c r="Y19" s="22"/>
      <c r="Z19" s="23">
        <v>5</v>
      </c>
      <c r="AA19" s="24"/>
      <c r="AB19" s="24">
        <v>168</v>
      </c>
      <c r="AC19" s="25"/>
      <c r="AD19" s="4">
        <v>178.4</v>
      </c>
    </row>
    <row r="20" spans="1:30" ht="13" x14ac:dyDescent="0.3">
      <c r="A20" s="67">
        <v>5</v>
      </c>
      <c r="B20" s="48"/>
      <c r="C20" s="49"/>
      <c r="D20" s="46"/>
      <c r="E20" s="67">
        <v>1</v>
      </c>
      <c r="F20" s="67">
        <v>72742</v>
      </c>
      <c r="G20" s="12">
        <f t="shared" si="3"/>
        <v>0.31090277777777781</v>
      </c>
      <c r="H20" s="19">
        <f>IFERROR(IF(E20=1,Q20,""),"")</f>
        <v>2.777777777778212E-4</v>
      </c>
      <c r="I20" s="19" t="str">
        <f t="shared" si="7"/>
        <v/>
      </c>
      <c r="J20" s="19" t="str">
        <f t="shared" si="8"/>
        <v/>
      </c>
      <c r="K20" s="19" t="str">
        <f t="shared" si="9"/>
        <v/>
      </c>
      <c r="L20" s="19" t="str">
        <f t="shared" si="10"/>
        <v/>
      </c>
      <c r="M20" s="19" t="str">
        <f t="shared" si="11"/>
        <v/>
      </c>
      <c r="N20" s="19" t="str">
        <f t="shared" si="12"/>
        <v/>
      </c>
      <c r="O20" s="19" t="str">
        <f t="shared" si="13"/>
        <v/>
      </c>
      <c r="P20" s="19" t="str">
        <f t="shared" si="14"/>
        <v/>
      </c>
      <c r="Q20" s="12">
        <f t="shared" si="15"/>
        <v>2.777777777778212E-4</v>
      </c>
      <c r="R20" s="39">
        <f t="shared" ref="R20:R83" si="16">IF(H20="","",HOUR(H20)*60+MINUTE(H20)+SECOND(H20)/60)</f>
        <v>0.4</v>
      </c>
      <c r="S20" s="79"/>
      <c r="T20" s="29"/>
      <c r="U20" s="21"/>
      <c r="V20" s="12">
        <f t="shared" si="5"/>
        <v>2.777777777778212E-4</v>
      </c>
      <c r="W20" s="22">
        <f t="shared" si="2"/>
        <v>24</v>
      </c>
      <c r="X20" s="22">
        <v>15</v>
      </c>
      <c r="Y20" s="22"/>
      <c r="Z20" s="23">
        <v>6</v>
      </c>
      <c r="AA20" s="24"/>
      <c r="AB20" s="24">
        <v>158</v>
      </c>
      <c r="AC20" s="25"/>
      <c r="AD20" s="4">
        <v>174.5</v>
      </c>
    </row>
    <row r="21" spans="1:30" ht="13" x14ac:dyDescent="0.25">
      <c r="A21" s="67">
        <v>6</v>
      </c>
      <c r="B21" s="48"/>
      <c r="C21" s="49"/>
      <c r="D21" s="46"/>
      <c r="E21" s="67">
        <v>1</v>
      </c>
      <c r="F21" s="67">
        <v>72808</v>
      </c>
      <c r="G21" s="12">
        <f>IF(LEN(F21)=5,TIMEVALUE(LEFT(F21,1)&amp;":"&amp;MID(F21,2,2)&amp;":"&amp;RIGHT(F21,2)),IF(LEN(F21)=6,TIMEVALUE(LEFT(F21,2)&amp;":"&amp;MID(F21,3,2)&amp;":"&amp;RIGHT(F21,2)),""))</f>
        <v>0.3112037037037037</v>
      </c>
      <c r="H21" s="19">
        <f t="shared" si="6"/>
        <v>3.0092592592589895E-4</v>
      </c>
      <c r="I21" s="19" t="str">
        <f t="shared" si="7"/>
        <v/>
      </c>
      <c r="J21" s="19" t="str">
        <f t="shared" si="8"/>
        <v/>
      </c>
      <c r="K21" s="19" t="str">
        <f t="shared" si="9"/>
        <v/>
      </c>
      <c r="L21" s="19" t="str">
        <f t="shared" si="10"/>
        <v/>
      </c>
      <c r="M21" s="19" t="str">
        <f t="shared" si="11"/>
        <v/>
      </c>
      <c r="N21" s="19" t="str">
        <f t="shared" si="12"/>
        <v/>
      </c>
      <c r="O21" s="19" t="str">
        <f t="shared" si="13"/>
        <v/>
      </c>
      <c r="P21" s="19" t="str">
        <f t="shared" si="14"/>
        <v/>
      </c>
      <c r="Q21" s="12">
        <f t="shared" si="15"/>
        <v>3.0092592592589895E-4</v>
      </c>
      <c r="R21" s="39">
        <f t="shared" si="16"/>
        <v>0.43333333333333335</v>
      </c>
      <c r="S21" s="78"/>
      <c r="T21" s="30"/>
      <c r="U21" s="31"/>
      <c r="V21" s="12">
        <f t="shared" si="5"/>
        <v>3.0092592592589895E-4</v>
      </c>
      <c r="W21" s="22">
        <f t="shared" si="2"/>
        <v>26</v>
      </c>
      <c r="X21" s="22"/>
      <c r="Y21" s="22"/>
      <c r="Z21" s="23">
        <v>7</v>
      </c>
      <c r="AA21" s="24"/>
      <c r="AB21" s="24">
        <v>126</v>
      </c>
      <c r="AC21" s="25"/>
      <c r="AD21" s="4">
        <v>172.9</v>
      </c>
    </row>
    <row r="22" spans="1:30" ht="13" x14ac:dyDescent="0.25">
      <c r="A22" s="67">
        <v>7</v>
      </c>
      <c r="B22" s="48"/>
      <c r="C22" s="49"/>
      <c r="D22" s="46"/>
      <c r="E22" s="67">
        <v>1</v>
      </c>
      <c r="F22" s="67">
        <v>72830</v>
      </c>
      <c r="G22" s="12">
        <f t="shared" si="3"/>
        <v>0.31145833333333334</v>
      </c>
      <c r="H22" s="19">
        <f t="shared" si="6"/>
        <v>2.5462962962963243E-4</v>
      </c>
      <c r="I22" s="19" t="str">
        <f t="shared" si="7"/>
        <v/>
      </c>
      <c r="J22" s="19" t="str">
        <f t="shared" si="8"/>
        <v/>
      </c>
      <c r="K22" s="19" t="str">
        <f t="shared" si="9"/>
        <v/>
      </c>
      <c r="L22" s="19" t="str">
        <f t="shared" si="10"/>
        <v/>
      </c>
      <c r="M22" s="19" t="str">
        <f t="shared" si="11"/>
        <v/>
      </c>
      <c r="N22" s="19" t="str">
        <f t="shared" si="12"/>
        <v/>
      </c>
      <c r="O22" s="19" t="str">
        <f t="shared" si="13"/>
        <v/>
      </c>
      <c r="P22" s="19" t="str">
        <f t="shared" si="14"/>
        <v/>
      </c>
      <c r="Q22" s="12">
        <f t="shared" si="15"/>
        <v>2.5462962962963243E-4</v>
      </c>
      <c r="R22" s="39">
        <f t="shared" si="16"/>
        <v>0.36666666666666664</v>
      </c>
      <c r="S22" s="78"/>
      <c r="T22" s="20"/>
      <c r="U22" s="21"/>
      <c r="V22" s="12">
        <f t="shared" si="5"/>
        <v>2.5462962962963243E-4</v>
      </c>
      <c r="W22" s="22">
        <f t="shared" si="2"/>
        <v>22</v>
      </c>
      <c r="X22" s="22"/>
      <c r="Y22" s="22"/>
      <c r="Z22" s="23">
        <v>8</v>
      </c>
      <c r="AA22" s="24"/>
      <c r="AB22" s="24">
        <v>218</v>
      </c>
      <c r="AC22" s="25"/>
      <c r="AD22" s="4">
        <v>171.2</v>
      </c>
    </row>
    <row r="23" spans="1:30" ht="13" x14ac:dyDescent="0.3">
      <c r="A23" s="67">
        <v>8</v>
      </c>
      <c r="B23" s="48"/>
      <c r="C23" s="49"/>
      <c r="D23" s="46"/>
      <c r="E23" s="67">
        <v>1</v>
      </c>
      <c r="F23" s="67">
        <v>72855</v>
      </c>
      <c r="G23" s="12">
        <f t="shared" si="3"/>
        <v>0.3117476851851852</v>
      </c>
      <c r="H23" s="19">
        <f t="shared" si="6"/>
        <v>2.8935185185186008E-4</v>
      </c>
      <c r="I23" s="19" t="str">
        <f t="shared" si="7"/>
        <v/>
      </c>
      <c r="J23" s="19" t="str">
        <f t="shared" si="8"/>
        <v/>
      </c>
      <c r="K23" s="19" t="str">
        <f t="shared" si="9"/>
        <v/>
      </c>
      <c r="L23" s="19" t="str">
        <f t="shared" si="10"/>
        <v/>
      </c>
      <c r="M23" s="19" t="str">
        <f t="shared" si="11"/>
        <v/>
      </c>
      <c r="N23" s="19" t="str">
        <f t="shared" si="12"/>
        <v/>
      </c>
      <c r="O23" s="19" t="str">
        <f t="shared" si="13"/>
        <v/>
      </c>
      <c r="P23" s="19" t="str">
        <f t="shared" si="14"/>
        <v/>
      </c>
      <c r="Q23" s="12">
        <f t="shared" si="15"/>
        <v>2.8935185185186008E-4</v>
      </c>
      <c r="R23" s="39">
        <f t="shared" si="16"/>
        <v>0.41666666666666669</v>
      </c>
      <c r="S23" s="78" t="s">
        <v>40</v>
      </c>
      <c r="T23" s="20"/>
      <c r="U23" s="21"/>
      <c r="V23" s="12">
        <f t="shared" si="5"/>
        <v>2.8935185185186008E-4</v>
      </c>
      <c r="W23" s="22">
        <f t="shared" si="2"/>
        <v>25</v>
      </c>
      <c r="X23" s="22"/>
      <c r="Y23" s="22"/>
      <c r="Z23" s="23">
        <v>9</v>
      </c>
      <c r="AA23" s="27"/>
      <c r="AB23" s="27">
        <v>179</v>
      </c>
      <c r="AC23" s="28"/>
      <c r="AD23" s="11">
        <v>169.5</v>
      </c>
    </row>
    <row r="24" spans="1:30" ht="13" x14ac:dyDescent="0.3">
      <c r="A24" s="67">
        <v>9</v>
      </c>
      <c r="B24" s="48"/>
      <c r="C24" s="49"/>
      <c r="D24" s="46"/>
      <c r="E24" s="67">
        <v>8</v>
      </c>
      <c r="F24" s="67">
        <v>72922</v>
      </c>
      <c r="G24" s="12">
        <f t="shared" si="3"/>
        <v>0.31206018518518519</v>
      </c>
      <c r="H24" s="19" t="str">
        <f t="shared" si="6"/>
        <v/>
      </c>
      <c r="I24" s="19" t="str">
        <f t="shared" si="7"/>
        <v/>
      </c>
      <c r="J24" s="19" t="str">
        <f t="shared" si="8"/>
        <v/>
      </c>
      <c r="K24" s="19" t="str">
        <f t="shared" si="9"/>
        <v/>
      </c>
      <c r="L24" s="19" t="str">
        <f t="shared" si="10"/>
        <v/>
      </c>
      <c r="M24" s="19" t="str">
        <f t="shared" si="11"/>
        <v/>
      </c>
      <c r="N24" s="19" t="str">
        <f t="shared" si="12"/>
        <v/>
      </c>
      <c r="O24" s="19">
        <f t="shared" si="13"/>
        <v>3.1249999999999334E-4</v>
      </c>
      <c r="P24" s="19" t="str">
        <f t="shared" si="14"/>
        <v/>
      </c>
      <c r="Q24" s="12">
        <f t="shared" si="15"/>
        <v>3.1249999999999334E-4</v>
      </c>
      <c r="R24" s="39" t="str">
        <f t="shared" si="16"/>
        <v/>
      </c>
      <c r="S24" s="78"/>
      <c r="T24" s="20"/>
      <c r="U24" s="21"/>
      <c r="V24" s="12" t="str">
        <f t="shared" si="5"/>
        <v/>
      </c>
      <c r="W24" s="22" t="str">
        <f t="shared" si="2"/>
        <v/>
      </c>
      <c r="X24" s="22"/>
      <c r="Y24" s="22"/>
      <c r="Z24" s="23">
        <v>10</v>
      </c>
      <c r="AA24" s="24"/>
      <c r="AB24" s="24">
        <v>171</v>
      </c>
      <c r="AC24" s="25"/>
      <c r="AD24" s="54">
        <f>SUM(AD15:AD23)</f>
        <v>1539.8</v>
      </c>
    </row>
    <row r="25" spans="1:30" ht="13" x14ac:dyDescent="0.25">
      <c r="A25" s="67">
        <v>10</v>
      </c>
      <c r="B25" s="67"/>
      <c r="C25" s="49"/>
      <c r="D25" s="64"/>
      <c r="E25" s="67">
        <v>4</v>
      </c>
      <c r="F25" s="67">
        <v>72930</v>
      </c>
      <c r="G25" s="12">
        <f t="shared" si="3"/>
        <v>0.31215277777777778</v>
      </c>
      <c r="H25" s="19" t="str">
        <f t="shared" si="6"/>
        <v/>
      </c>
      <c r="I25" s="19" t="str">
        <f t="shared" si="7"/>
        <v/>
      </c>
      <c r="J25" s="19" t="str">
        <f t="shared" si="8"/>
        <v/>
      </c>
      <c r="K25" s="19">
        <f t="shared" si="9"/>
        <v>9.2592592592588563E-5</v>
      </c>
      <c r="L25" s="19" t="str">
        <f t="shared" si="10"/>
        <v/>
      </c>
      <c r="M25" s="19" t="str">
        <f t="shared" si="11"/>
        <v/>
      </c>
      <c r="N25" s="19" t="str">
        <f t="shared" si="12"/>
        <v/>
      </c>
      <c r="O25" s="19" t="str">
        <f t="shared" si="13"/>
        <v/>
      </c>
      <c r="P25" s="19" t="str">
        <f t="shared" si="14"/>
        <v/>
      </c>
      <c r="Q25" s="12">
        <f t="shared" si="15"/>
        <v>9.2592592592588563E-5</v>
      </c>
      <c r="R25" s="39" t="str">
        <f t="shared" si="16"/>
        <v/>
      </c>
      <c r="S25" s="78"/>
      <c r="T25" s="20"/>
      <c r="U25" s="21"/>
      <c r="V25" s="12" t="str">
        <f t="shared" si="5"/>
        <v/>
      </c>
      <c r="W25" s="22" t="str">
        <f t="shared" si="2"/>
        <v/>
      </c>
      <c r="X25" s="22"/>
      <c r="Y25" s="22"/>
      <c r="Z25" s="23">
        <v>11</v>
      </c>
      <c r="AA25" s="24"/>
      <c r="AB25" s="24">
        <v>164</v>
      </c>
      <c r="AC25" s="25"/>
    </row>
    <row r="26" spans="1:30" ht="13" x14ac:dyDescent="0.3">
      <c r="A26" s="67">
        <v>11</v>
      </c>
      <c r="B26" s="48">
        <v>10</v>
      </c>
      <c r="C26" s="49"/>
      <c r="D26" s="49">
        <v>5</v>
      </c>
      <c r="E26" s="67">
        <v>7</v>
      </c>
      <c r="F26" s="67">
        <v>72956</v>
      </c>
      <c r="G26" s="12">
        <f t="shared" si="3"/>
        <v>0.31245370370370368</v>
      </c>
      <c r="H26" s="19" t="str">
        <f t="shared" si="6"/>
        <v/>
      </c>
      <c r="I26" s="19" t="str">
        <f t="shared" si="7"/>
        <v/>
      </c>
      <c r="J26" s="19" t="str">
        <f t="shared" si="8"/>
        <v/>
      </c>
      <c r="K26" s="19" t="str">
        <f t="shared" si="9"/>
        <v/>
      </c>
      <c r="L26" s="19" t="str">
        <f t="shared" si="10"/>
        <v/>
      </c>
      <c r="M26" s="19" t="str">
        <f t="shared" si="11"/>
        <v/>
      </c>
      <c r="N26" s="19">
        <f t="shared" si="12"/>
        <v>3.0092592592589895E-4</v>
      </c>
      <c r="O26" s="19" t="str">
        <f t="shared" si="13"/>
        <v/>
      </c>
      <c r="P26" s="19" t="str">
        <f t="shared" si="14"/>
        <v/>
      </c>
      <c r="Q26" s="12">
        <f t="shared" si="15"/>
        <v>3.0092592592589895E-4</v>
      </c>
      <c r="R26" s="39" t="str">
        <f t="shared" si="16"/>
        <v/>
      </c>
      <c r="S26" s="78"/>
      <c r="T26" s="20"/>
      <c r="U26" s="21"/>
      <c r="V26" s="12" t="str">
        <f t="shared" si="5"/>
        <v/>
      </c>
      <c r="W26" s="22" t="str">
        <f t="shared" si="2"/>
        <v/>
      </c>
      <c r="X26" s="22"/>
      <c r="Y26" s="22"/>
      <c r="Z26" s="23">
        <v>12</v>
      </c>
      <c r="AA26" s="24"/>
      <c r="AB26" s="24">
        <v>132</v>
      </c>
      <c r="AC26" s="25"/>
      <c r="AD26" s="54">
        <f>AVERAGE(AD15:AD23)</f>
        <v>171.08888888888887</v>
      </c>
    </row>
    <row r="27" spans="1:30" ht="13" x14ac:dyDescent="0.25">
      <c r="A27" s="67">
        <v>12</v>
      </c>
      <c r="B27" s="48"/>
      <c r="C27" s="49"/>
      <c r="D27" s="49"/>
      <c r="E27" s="67">
        <v>1</v>
      </c>
      <c r="F27" s="67">
        <v>73001</v>
      </c>
      <c r="G27" s="12">
        <f t="shared" si="3"/>
        <v>0.31251157407407409</v>
      </c>
      <c r="H27" s="19">
        <f t="shared" si="6"/>
        <v>5.7870370370416424E-5</v>
      </c>
      <c r="I27" s="19" t="str">
        <f t="shared" si="7"/>
        <v/>
      </c>
      <c r="J27" s="19" t="str">
        <f t="shared" si="8"/>
        <v/>
      </c>
      <c r="K27" s="19" t="str">
        <f t="shared" si="9"/>
        <v/>
      </c>
      <c r="L27" s="19" t="str">
        <f t="shared" si="10"/>
        <v/>
      </c>
      <c r="M27" s="19" t="str">
        <f t="shared" si="11"/>
        <v/>
      </c>
      <c r="N27" s="19" t="str">
        <f t="shared" si="12"/>
        <v/>
      </c>
      <c r="O27" s="19" t="str">
        <f t="shared" si="13"/>
        <v/>
      </c>
      <c r="P27" s="19" t="str">
        <f t="shared" si="14"/>
        <v/>
      </c>
      <c r="Q27" s="12">
        <f t="shared" si="15"/>
        <v>5.7870370370416424E-5</v>
      </c>
      <c r="R27" s="39">
        <f t="shared" si="16"/>
        <v>8.3333333333333329E-2</v>
      </c>
      <c r="S27" s="78"/>
      <c r="T27" s="20"/>
      <c r="U27" s="21"/>
      <c r="V27" s="12">
        <f t="shared" si="5"/>
        <v>5.7870370370416424E-5</v>
      </c>
      <c r="W27" s="22" t="str">
        <f t="shared" si="2"/>
        <v/>
      </c>
      <c r="X27" s="22"/>
      <c r="Y27" s="22"/>
      <c r="Z27" s="23">
        <v>13</v>
      </c>
      <c r="AA27" s="24"/>
      <c r="AB27" s="24"/>
      <c r="AC27" s="25"/>
    </row>
    <row r="28" spans="1:30" ht="13" x14ac:dyDescent="0.25">
      <c r="A28" s="67">
        <v>13</v>
      </c>
      <c r="B28" s="48"/>
      <c r="C28" s="49"/>
      <c r="D28" s="49"/>
      <c r="E28" s="67">
        <v>1</v>
      </c>
      <c r="F28" s="67">
        <v>73023</v>
      </c>
      <c r="G28" s="12">
        <f t="shared" si="3"/>
        <v>0.31276620370370373</v>
      </c>
      <c r="H28" s="19">
        <f t="shared" si="6"/>
        <v>2.5462962962963243E-4</v>
      </c>
      <c r="I28" s="19" t="str">
        <f t="shared" si="7"/>
        <v/>
      </c>
      <c r="J28" s="19" t="str">
        <f t="shared" si="8"/>
        <v/>
      </c>
      <c r="K28" s="19" t="str">
        <f t="shared" si="9"/>
        <v/>
      </c>
      <c r="L28" s="19" t="str">
        <f t="shared" si="10"/>
        <v/>
      </c>
      <c r="M28" s="19" t="str">
        <f t="shared" si="11"/>
        <v/>
      </c>
      <c r="N28" s="19" t="str">
        <f t="shared" si="12"/>
        <v/>
      </c>
      <c r="O28" s="19" t="str">
        <f t="shared" si="13"/>
        <v/>
      </c>
      <c r="P28" s="19" t="str">
        <f t="shared" si="14"/>
        <v/>
      </c>
      <c r="Q28" s="12">
        <f t="shared" si="15"/>
        <v>2.5462962962963243E-4</v>
      </c>
      <c r="R28" s="39">
        <f t="shared" si="16"/>
        <v>0.36666666666666664</v>
      </c>
      <c r="S28" s="78"/>
      <c r="T28" s="20"/>
      <c r="U28" s="21"/>
      <c r="V28" s="12">
        <f t="shared" si="5"/>
        <v>2.5462962962963243E-4</v>
      </c>
      <c r="W28" s="22">
        <f t="shared" si="2"/>
        <v>22</v>
      </c>
      <c r="X28" s="22"/>
      <c r="Y28" s="22"/>
      <c r="Z28" s="23">
        <v>14</v>
      </c>
      <c r="AA28" s="24"/>
      <c r="AB28" s="24"/>
      <c r="AC28" s="25"/>
    </row>
    <row r="29" spans="1:30" ht="13" x14ac:dyDescent="0.25">
      <c r="A29" s="67">
        <v>14</v>
      </c>
      <c r="B29" s="48"/>
      <c r="C29" s="49"/>
      <c r="D29" s="50"/>
      <c r="E29" s="67">
        <v>1</v>
      </c>
      <c r="F29" s="67">
        <v>73049</v>
      </c>
      <c r="G29" s="12">
        <f t="shared" si="3"/>
        <v>0.31306712962962963</v>
      </c>
      <c r="H29" s="19">
        <f t="shared" si="6"/>
        <v>3.0092592592589895E-4</v>
      </c>
      <c r="I29" s="19" t="str">
        <f t="shared" si="7"/>
        <v/>
      </c>
      <c r="J29" s="19" t="str">
        <f t="shared" si="8"/>
        <v/>
      </c>
      <c r="K29" s="19" t="str">
        <f t="shared" si="9"/>
        <v/>
      </c>
      <c r="L29" s="19" t="str">
        <f t="shared" si="10"/>
        <v/>
      </c>
      <c r="M29" s="19" t="str">
        <f t="shared" si="11"/>
        <v/>
      </c>
      <c r="N29" s="19" t="str">
        <f t="shared" si="12"/>
        <v/>
      </c>
      <c r="O29" s="19" t="str">
        <f t="shared" si="13"/>
        <v/>
      </c>
      <c r="P29" s="19" t="str">
        <f t="shared" si="14"/>
        <v/>
      </c>
      <c r="Q29" s="12">
        <f t="shared" si="15"/>
        <v>3.0092592592589895E-4</v>
      </c>
      <c r="R29" s="39">
        <f t="shared" si="16"/>
        <v>0.43333333333333335</v>
      </c>
      <c r="S29" s="78"/>
      <c r="T29" s="20"/>
      <c r="U29" s="21"/>
      <c r="V29" s="12">
        <f t="shared" si="5"/>
        <v>3.0092592592589895E-4</v>
      </c>
      <c r="W29" s="22">
        <f t="shared" si="2"/>
        <v>26</v>
      </c>
      <c r="X29" s="22"/>
      <c r="Y29" s="32"/>
      <c r="Z29" s="23">
        <v>15</v>
      </c>
      <c r="AA29" s="24"/>
      <c r="AB29" s="24"/>
      <c r="AC29" s="25"/>
    </row>
    <row r="30" spans="1:30" ht="13" x14ac:dyDescent="0.25">
      <c r="A30" s="67">
        <v>15</v>
      </c>
      <c r="B30" s="52"/>
      <c r="C30" s="50"/>
      <c r="D30" s="45"/>
      <c r="E30" s="67">
        <v>1</v>
      </c>
      <c r="F30" s="67">
        <v>73113</v>
      </c>
      <c r="G30" s="12">
        <f t="shared" si="3"/>
        <v>0.31334490740740739</v>
      </c>
      <c r="H30" s="19">
        <f t="shared" si="6"/>
        <v>2.7777777777776569E-4</v>
      </c>
      <c r="I30" s="19" t="str">
        <f t="shared" si="7"/>
        <v/>
      </c>
      <c r="J30" s="19" t="str">
        <f t="shared" si="8"/>
        <v/>
      </c>
      <c r="K30" s="19" t="str">
        <f t="shared" si="9"/>
        <v/>
      </c>
      <c r="L30" s="19" t="str">
        <f t="shared" si="10"/>
        <v/>
      </c>
      <c r="M30" s="19" t="str">
        <f t="shared" si="11"/>
        <v/>
      </c>
      <c r="N30" s="19" t="str">
        <f t="shared" si="12"/>
        <v/>
      </c>
      <c r="O30" s="19" t="str">
        <f t="shared" si="13"/>
        <v/>
      </c>
      <c r="P30" s="19" t="str">
        <f t="shared" si="14"/>
        <v/>
      </c>
      <c r="Q30" s="12">
        <f t="shared" si="15"/>
        <v>2.7777777777776569E-4</v>
      </c>
      <c r="R30" s="39">
        <f t="shared" si="16"/>
        <v>0.4</v>
      </c>
      <c r="S30" s="78"/>
      <c r="T30" s="20"/>
      <c r="U30" s="21"/>
      <c r="V30" s="12">
        <f t="shared" si="5"/>
        <v>2.7777777777776569E-4</v>
      </c>
      <c r="W30" s="22">
        <f t="shared" si="2"/>
        <v>24</v>
      </c>
      <c r="X30" s="22"/>
      <c r="Y30" s="22"/>
      <c r="Z30" s="23">
        <v>16</v>
      </c>
      <c r="AA30" s="24"/>
      <c r="AB30" s="24"/>
      <c r="AC30" s="25"/>
    </row>
    <row r="31" spans="1:30" ht="13" x14ac:dyDescent="0.25">
      <c r="A31" s="67">
        <v>16</v>
      </c>
      <c r="B31" s="48"/>
      <c r="C31" s="49"/>
      <c r="D31" s="46"/>
      <c r="E31" s="67">
        <v>1</v>
      </c>
      <c r="F31" s="67">
        <v>73140</v>
      </c>
      <c r="G31" s="12">
        <f t="shared" si="3"/>
        <v>0.31365740740740738</v>
      </c>
      <c r="H31" s="19">
        <f t="shared" si="6"/>
        <v>3.1249999999999334E-4</v>
      </c>
      <c r="I31" s="19" t="str">
        <f t="shared" si="7"/>
        <v/>
      </c>
      <c r="J31" s="19" t="str">
        <f t="shared" si="8"/>
        <v/>
      </c>
      <c r="K31" s="19" t="str">
        <f t="shared" si="9"/>
        <v/>
      </c>
      <c r="L31" s="19" t="str">
        <f t="shared" si="10"/>
        <v/>
      </c>
      <c r="M31" s="19" t="str">
        <f t="shared" si="11"/>
        <v/>
      </c>
      <c r="N31" s="19" t="str">
        <f t="shared" si="12"/>
        <v/>
      </c>
      <c r="O31" s="19" t="str">
        <f t="shared" si="13"/>
        <v/>
      </c>
      <c r="P31" s="19" t="str">
        <f t="shared" si="14"/>
        <v/>
      </c>
      <c r="Q31" s="12">
        <f t="shared" si="15"/>
        <v>3.1249999999999334E-4</v>
      </c>
      <c r="R31" s="39">
        <f t="shared" si="16"/>
        <v>0.45</v>
      </c>
      <c r="S31" s="78" t="s">
        <v>41</v>
      </c>
      <c r="T31" s="20"/>
      <c r="U31" s="21"/>
      <c r="V31" s="12">
        <f t="shared" si="5"/>
        <v>3.1249999999999334E-4</v>
      </c>
      <c r="W31" s="22">
        <f t="shared" si="2"/>
        <v>27</v>
      </c>
      <c r="X31" s="22"/>
      <c r="Y31" s="22"/>
      <c r="Z31" s="23">
        <v>17</v>
      </c>
      <c r="AA31" s="24"/>
      <c r="AB31" s="24"/>
      <c r="AC31" s="25"/>
    </row>
    <row r="32" spans="1:30" ht="13" x14ac:dyDescent="0.25">
      <c r="A32" s="67">
        <v>17</v>
      </c>
      <c r="B32" s="48"/>
      <c r="C32" s="49"/>
      <c r="D32" s="46"/>
      <c r="E32" s="67">
        <v>4</v>
      </c>
      <c r="F32" s="67">
        <v>73200</v>
      </c>
      <c r="G32" s="12">
        <f t="shared" si="3"/>
        <v>0.31388888888888888</v>
      </c>
      <c r="H32" s="19" t="str">
        <f t="shared" si="6"/>
        <v/>
      </c>
      <c r="I32" s="19" t="str">
        <f t="shared" si="7"/>
        <v/>
      </c>
      <c r="J32" s="19" t="str">
        <f t="shared" si="8"/>
        <v/>
      </c>
      <c r="K32" s="19">
        <f t="shared" si="9"/>
        <v>2.3148148148149916E-4</v>
      </c>
      <c r="L32" s="19" t="str">
        <f t="shared" si="10"/>
        <v/>
      </c>
      <c r="M32" s="19" t="str">
        <f t="shared" si="11"/>
        <v/>
      </c>
      <c r="N32" s="19" t="str">
        <f t="shared" si="12"/>
        <v/>
      </c>
      <c r="O32" s="19" t="str">
        <f t="shared" si="13"/>
        <v/>
      </c>
      <c r="P32" s="19" t="str">
        <f t="shared" si="14"/>
        <v/>
      </c>
      <c r="Q32" s="12">
        <f t="shared" si="15"/>
        <v>2.3148148148149916E-4</v>
      </c>
      <c r="R32" s="39" t="str">
        <f t="shared" si="16"/>
        <v/>
      </c>
      <c r="S32" s="78"/>
      <c r="T32" s="20"/>
      <c r="U32" s="21"/>
      <c r="V32" s="12" t="str">
        <f t="shared" si="5"/>
        <v/>
      </c>
      <c r="W32" s="22" t="str">
        <f t="shared" si="2"/>
        <v/>
      </c>
      <c r="X32" s="22"/>
      <c r="Y32" s="22"/>
      <c r="Z32" s="23">
        <v>18</v>
      </c>
      <c r="AA32" s="24"/>
      <c r="AB32" s="24"/>
      <c r="AC32" s="25"/>
    </row>
    <row r="33" spans="1:33" ht="13" x14ac:dyDescent="0.25">
      <c r="A33" s="67">
        <v>18</v>
      </c>
      <c r="B33" s="48">
        <v>8</v>
      </c>
      <c r="C33" s="49"/>
      <c r="D33" s="46">
        <v>5</v>
      </c>
      <c r="E33" s="67">
        <v>7</v>
      </c>
      <c r="F33" s="67">
        <v>73237</v>
      </c>
      <c r="G33" s="12">
        <f t="shared" si="3"/>
        <v>0.3143171296296296</v>
      </c>
      <c r="H33" s="19" t="str">
        <f t="shared" si="6"/>
        <v/>
      </c>
      <c r="I33" s="19" t="str">
        <f t="shared" si="7"/>
        <v/>
      </c>
      <c r="J33" s="19" t="str">
        <f t="shared" si="8"/>
        <v/>
      </c>
      <c r="K33" s="19" t="str">
        <f t="shared" si="9"/>
        <v/>
      </c>
      <c r="L33" s="19" t="str">
        <f t="shared" si="10"/>
        <v/>
      </c>
      <c r="M33" s="19" t="str">
        <f t="shared" si="11"/>
        <v/>
      </c>
      <c r="N33" s="19">
        <f t="shared" si="12"/>
        <v>4.2824074074071516E-4</v>
      </c>
      <c r="O33" s="19" t="str">
        <f t="shared" si="13"/>
        <v/>
      </c>
      <c r="P33" s="19" t="str">
        <f t="shared" si="14"/>
        <v/>
      </c>
      <c r="Q33" s="12">
        <f t="shared" si="15"/>
        <v>4.2824074074071516E-4</v>
      </c>
      <c r="R33" s="39" t="str">
        <f t="shared" si="16"/>
        <v/>
      </c>
      <c r="S33" s="78"/>
      <c r="T33" s="20"/>
      <c r="U33" s="21"/>
      <c r="V33" s="12" t="str">
        <f t="shared" si="5"/>
        <v/>
      </c>
      <c r="W33" s="22" t="str">
        <f t="shared" si="2"/>
        <v/>
      </c>
      <c r="X33" s="22"/>
      <c r="Y33" s="22"/>
      <c r="Z33" s="23">
        <v>19</v>
      </c>
      <c r="AA33" s="24"/>
      <c r="AB33" s="24"/>
      <c r="AC33" s="25"/>
    </row>
    <row r="34" spans="1:33" ht="13" x14ac:dyDescent="0.25">
      <c r="A34" s="67">
        <v>19</v>
      </c>
      <c r="B34" s="48"/>
      <c r="C34" s="49"/>
      <c r="D34" s="46"/>
      <c r="E34" s="67">
        <v>1</v>
      </c>
      <c r="F34" s="67">
        <v>73242</v>
      </c>
      <c r="G34" s="12">
        <f t="shared" si="3"/>
        <v>0.31437500000000002</v>
      </c>
      <c r="H34" s="19">
        <f t="shared" si="6"/>
        <v>5.7870370370416424E-5</v>
      </c>
      <c r="I34" s="19" t="str">
        <f t="shared" si="7"/>
        <v/>
      </c>
      <c r="J34" s="19" t="str">
        <f t="shared" si="8"/>
        <v/>
      </c>
      <c r="K34" s="19" t="str">
        <f t="shared" si="9"/>
        <v/>
      </c>
      <c r="L34" s="19" t="str">
        <f t="shared" si="10"/>
        <v/>
      </c>
      <c r="M34" s="19" t="str">
        <f t="shared" si="11"/>
        <v/>
      </c>
      <c r="N34" s="19" t="str">
        <f t="shared" si="12"/>
        <v/>
      </c>
      <c r="O34" s="19" t="str">
        <f t="shared" si="13"/>
        <v/>
      </c>
      <c r="P34" s="19" t="str">
        <f t="shared" si="14"/>
        <v/>
      </c>
      <c r="Q34" s="12">
        <f t="shared" si="15"/>
        <v>5.7870370370416424E-5</v>
      </c>
      <c r="R34" s="39">
        <f t="shared" si="16"/>
        <v>8.3333333333333329E-2</v>
      </c>
      <c r="S34" s="78"/>
      <c r="T34" s="20"/>
      <c r="U34" s="31"/>
      <c r="V34" s="12">
        <f t="shared" si="5"/>
        <v>5.7870370370416424E-5</v>
      </c>
      <c r="W34" s="22" t="str">
        <f t="shared" si="2"/>
        <v/>
      </c>
      <c r="X34" s="22"/>
      <c r="Y34" s="22"/>
      <c r="Z34" s="23">
        <v>20</v>
      </c>
      <c r="AA34" s="24"/>
      <c r="AB34" s="24"/>
      <c r="AC34" s="25"/>
    </row>
    <row r="35" spans="1:33" ht="13" x14ac:dyDescent="0.3">
      <c r="A35" s="67">
        <v>20</v>
      </c>
      <c r="B35" s="48"/>
      <c r="C35" s="49"/>
      <c r="D35" s="46"/>
      <c r="E35" s="67">
        <v>1</v>
      </c>
      <c r="F35" s="67">
        <v>73304</v>
      </c>
      <c r="G35" s="12">
        <f t="shared" si="3"/>
        <v>0.31462962962962965</v>
      </c>
      <c r="H35" s="19">
        <f t="shared" si="6"/>
        <v>2.5462962962963243E-4</v>
      </c>
      <c r="I35" s="19" t="str">
        <f t="shared" si="7"/>
        <v/>
      </c>
      <c r="J35" s="19" t="str">
        <f t="shared" si="8"/>
        <v/>
      </c>
      <c r="K35" s="19" t="str">
        <f t="shared" si="9"/>
        <v/>
      </c>
      <c r="L35" s="19" t="str">
        <f t="shared" si="10"/>
        <v/>
      </c>
      <c r="M35" s="19" t="str">
        <f t="shared" si="11"/>
        <v/>
      </c>
      <c r="N35" s="19" t="str">
        <f t="shared" si="12"/>
        <v/>
      </c>
      <c r="O35" s="19" t="str">
        <f t="shared" si="13"/>
        <v/>
      </c>
      <c r="P35" s="19" t="str">
        <f t="shared" si="14"/>
        <v/>
      </c>
      <c r="Q35" s="12">
        <f t="shared" si="15"/>
        <v>2.5462962962963243E-4</v>
      </c>
      <c r="R35" s="39">
        <f t="shared" si="16"/>
        <v>0.36666666666666664</v>
      </c>
      <c r="S35" s="78"/>
      <c r="T35" s="20"/>
      <c r="U35" s="21"/>
      <c r="V35" s="12">
        <f t="shared" si="5"/>
        <v>2.5462962962963243E-4</v>
      </c>
      <c r="W35" s="22">
        <f t="shared" si="2"/>
        <v>22</v>
      </c>
      <c r="X35" s="22"/>
      <c r="Y35" s="22"/>
      <c r="Z35" s="23">
        <v>21</v>
      </c>
      <c r="AA35" s="24"/>
      <c r="AB35" s="27"/>
      <c r="AC35" s="33"/>
    </row>
    <row r="36" spans="1:33" ht="13" x14ac:dyDescent="0.3">
      <c r="A36" s="67">
        <v>21</v>
      </c>
      <c r="B36" s="48"/>
      <c r="C36" s="49"/>
      <c r="D36" s="64"/>
      <c r="E36" s="67">
        <v>1</v>
      </c>
      <c r="F36" s="67">
        <v>73328</v>
      </c>
      <c r="G36" s="12">
        <f t="shared" si="3"/>
        <v>0.31490740740740741</v>
      </c>
      <c r="H36" s="19">
        <f t="shared" si="6"/>
        <v>2.7777777777776569E-4</v>
      </c>
      <c r="I36" s="19" t="str">
        <f t="shared" si="7"/>
        <v/>
      </c>
      <c r="J36" s="19" t="str">
        <f t="shared" si="8"/>
        <v/>
      </c>
      <c r="K36" s="19" t="str">
        <f t="shared" si="9"/>
        <v/>
      </c>
      <c r="L36" s="19" t="str">
        <f t="shared" si="10"/>
        <v/>
      </c>
      <c r="M36" s="19" t="str">
        <f t="shared" si="11"/>
        <v/>
      </c>
      <c r="N36" s="19" t="str">
        <f t="shared" si="12"/>
        <v/>
      </c>
      <c r="O36" s="19" t="str">
        <f t="shared" si="13"/>
        <v/>
      </c>
      <c r="P36" s="19" t="str">
        <f t="shared" si="14"/>
        <v/>
      </c>
      <c r="Q36" s="12">
        <f t="shared" si="15"/>
        <v>2.7777777777776569E-4</v>
      </c>
      <c r="R36" s="39">
        <f t="shared" si="16"/>
        <v>0.4</v>
      </c>
      <c r="S36" s="78"/>
      <c r="T36" s="20"/>
      <c r="U36" s="21"/>
      <c r="V36" s="12">
        <f t="shared" si="5"/>
        <v>2.7777777777776569E-4</v>
      </c>
      <c r="W36" s="22">
        <f t="shared" si="2"/>
        <v>24</v>
      </c>
      <c r="X36" s="22"/>
      <c r="Y36" s="22"/>
      <c r="Z36" s="23">
        <v>22</v>
      </c>
      <c r="AA36" s="24"/>
      <c r="AB36" s="34"/>
      <c r="AC36" s="25"/>
    </row>
    <row r="37" spans="1:33" ht="13" x14ac:dyDescent="0.25">
      <c r="A37" s="67">
        <v>22</v>
      </c>
      <c r="B37" s="48"/>
      <c r="C37" s="49"/>
      <c r="D37" s="49"/>
      <c r="E37" s="67">
        <v>1</v>
      </c>
      <c r="F37" s="67">
        <v>73350</v>
      </c>
      <c r="G37" s="12">
        <f t="shared" si="3"/>
        <v>0.31516203703703705</v>
      </c>
      <c r="H37" s="19">
        <f t="shared" si="6"/>
        <v>2.5462962962963243E-4</v>
      </c>
      <c r="I37" s="19" t="str">
        <f t="shared" si="7"/>
        <v/>
      </c>
      <c r="J37" s="19" t="str">
        <f t="shared" si="8"/>
        <v/>
      </c>
      <c r="K37" s="19" t="str">
        <f t="shared" si="9"/>
        <v/>
      </c>
      <c r="L37" s="19" t="str">
        <f t="shared" si="10"/>
        <v/>
      </c>
      <c r="M37" s="19" t="str">
        <f t="shared" si="11"/>
        <v/>
      </c>
      <c r="N37" s="19" t="str">
        <f t="shared" si="12"/>
        <v/>
      </c>
      <c r="O37" s="19" t="str">
        <f t="shared" si="13"/>
        <v/>
      </c>
      <c r="P37" s="19" t="str">
        <f t="shared" si="14"/>
        <v/>
      </c>
      <c r="Q37" s="12">
        <f t="shared" si="15"/>
        <v>2.5462962962963243E-4</v>
      </c>
      <c r="R37" s="39">
        <f t="shared" si="16"/>
        <v>0.36666666666666664</v>
      </c>
      <c r="S37" s="78"/>
      <c r="T37" s="20"/>
      <c r="U37" s="21"/>
      <c r="V37" s="12">
        <f t="shared" si="5"/>
        <v>2.5462962962963243E-4</v>
      </c>
      <c r="W37" s="22">
        <f t="shared" si="2"/>
        <v>22</v>
      </c>
      <c r="X37" s="76"/>
      <c r="Y37" s="40"/>
      <c r="Z37" s="23">
        <v>23</v>
      </c>
      <c r="AA37" s="24"/>
      <c r="AB37" s="24"/>
      <c r="AC37" s="25"/>
    </row>
    <row r="38" spans="1:33" ht="13" x14ac:dyDescent="0.25">
      <c r="A38" s="67">
        <v>23</v>
      </c>
      <c r="B38" s="48"/>
      <c r="C38" s="49"/>
      <c r="D38" s="49"/>
      <c r="E38" s="67">
        <v>1</v>
      </c>
      <c r="F38" s="67">
        <v>73414</v>
      </c>
      <c r="G38" s="12">
        <f t="shared" si="3"/>
        <v>0.31543981481481481</v>
      </c>
      <c r="H38" s="19">
        <f t="shared" si="6"/>
        <v>2.7777777777776569E-4</v>
      </c>
      <c r="I38" s="19" t="str">
        <f t="shared" si="7"/>
        <v/>
      </c>
      <c r="J38" s="19" t="str">
        <f t="shared" si="8"/>
        <v/>
      </c>
      <c r="K38" s="19" t="str">
        <f t="shared" si="9"/>
        <v/>
      </c>
      <c r="L38" s="19" t="str">
        <f t="shared" si="10"/>
        <v/>
      </c>
      <c r="M38" s="19" t="str">
        <f t="shared" si="11"/>
        <v/>
      </c>
      <c r="N38" s="19" t="str">
        <f t="shared" si="12"/>
        <v/>
      </c>
      <c r="O38" s="19" t="str">
        <f t="shared" si="13"/>
        <v/>
      </c>
      <c r="P38" s="19" t="str">
        <f t="shared" si="14"/>
        <v/>
      </c>
      <c r="Q38" s="12">
        <f t="shared" si="15"/>
        <v>2.7777777777776569E-4</v>
      </c>
      <c r="R38" s="39">
        <f t="shared" si="16"/>
        <v>0.4</v>
      </c>
      <c r="S38" s="78" t="s">
        <v>42</v>
      </c>
      <c r="T38" s="20"/>
      <c r="U38" s="21"/>
      <c r="V38" s="12">
        <f t="shared" si="5"/>
        <v>2.7777777777776569E-4</v>
      </c>
      <c r="W38" s="22">
        <f t="shared" si="2"/>
        <v>24</v>
      </c>
      <c r="X38" s="22"/>
      <c r="Y38" s="22"/>
      <c r="Z38" s="23">
        <v>24</v>
      </c>
      <c r="AA38" s="24"/>
      <c r="AB38" s="24"/>
      <c r="AC38" s="25"/>
    </row>
    <row r="39" spans="1:33" ht="13" x14ac:dyDescent="0.3">
      <c r="A39" s="67">
        <v>24</v>
      </c>
      <c r="B39" s="48"/>
      <c r="C39" s="49"/>
      <c r="D39" s="45"/>
      <c r="E39" s="67">
        <v>4</v>
      </c>
      <c r="F39" s="67">
        <v>73432</v>
      </c>
      <c r="G39" s="12">
        <f t="shared" si="3"/>
        <v>0.31564814814814818</v>
      </c>
      <c r="H39" s="19" t="str">
        <f t="shared" si="6"/>
        <v/>
      </c>
      <c r="I39" s="19" t="str">
        <f t="shared" si="7"/>
        <v/>
      </c>
      <c r="J39" s="19" t="str">
        <f t="shared" si="8"/>
        <v/>
      </c>
      <c r="K39" s="19">
        <f t="shared" si="9"/>
        <v>2.083333333333659E-4</v>
      </c>
      <c r="L39" s="19" t="str">
        <f t="shared" si="10"/>
        <v/>
      </c>
      <c r="M39" s="19" t="str">
        <f t="shared" si="11"/>
        <v/>
      </c>
      <c r="N39" s="19" t="str">
        <f t="shared" si="12"/>
        <v/>
      </c>
      <c r="O39" s="19" t="str">
        <f t="shared" si="13"/>
        <v/>
      </c>
      <c r="P39" s="19" t="str">
        <f t="shared" si="14"/>
        <v/>
      </c>
      <c r="Q39" s="12">
        <f t="shared" si="15"/>
        <v>2.083333333333659E-4</v>
      </c>
      <c r="R39" s="39" t="str">
        <f t="shared" si="16"/>
        <v/>
      </c>
      <c r="S39" s="78"/>
      <c r="T39" s="20"/>
      <c r="U39" s="21"/>
      <c r="V39" s="12" t="str">
        <f t="shared" si="5"/>
        <v/>
      </c>
      <c r="W39" s="22" t="str">
        <f t="shared" si="2"/>
        <v/>
      </c>
      <c r="X39" s="22"/>
      <c r="Y39" s="22"/>
      <c r="Z39" s="29"/>
      <c r="AA39" s="26"/>
      <c r="AB39" s="35">
        <f>AVERAGE(AB15:AB38)</f>
        <v>161.58333333333334</v>
      </c>
      <c r="AC39" s="36" t="e">
        <f>AVERAGE(AC15:AC38)</f>
        <v>#DIV/0!</v>
      </c>
    </row>
    <row r="40" spans="1:33" ht="13" x14ac:dyDescent="0.3">
      <c r="A40" s="67">
        <v>25</v>
      </c>
      <c r="B40" s="49">
        <v>7</v>
      </c>
      <c r="C40" s="49"/>
      <c r="D40" s="46">
        <v>5</v>
      </c>
      <c r="E40" s="67">
        <v>7</v>
      </c>
      <c r="F40" s="67">
        <v>73504</v>
      </c>
      <c r="G40" s="12">
        <f t="shared" si="3"/>
        <v>0.31601851851851853</v>
      </c>
      <c r="H40" s="19" t="str">
        <f t="shared" si="6"/>
        <v/>
      </c>
      <c r="I40" s="19" t="str">
        <f t="shared" si="7"/>
        <v/>
      </c>
      <c r="J40" s="19" t="str">
        <f t="shared" si="8"/>
        <v/>
      </c>
      <c r="K40" s="19" t="str">
        <f t="shared" si="9"/>
        <v/>
      </c>
      <c r="L40" s="19" t="str">
        <f t="shared" si="10"/>
        <v/>
      </c>
      <c r="M40" s="19" t="str">
        <f t="shared" si="11"/>
        <v/>
      </c>
      <c r="N40" s="19">
        <f t="shared" si="12"/>
        <v>3.7037037037035425E-4</v>
      </c>
      <c r="O40" s="19" t="str">
        <f t="shared" si="13"/>
        <v/>
      </c>
      <c r="P40" s="19" t="str">
        <f t="shared" si="14"/>
        <v/>
      </c>
      <c r="Q40" s="12">
        <f t="shared" si="15"/>
        <v>3.7037037037035425E-4</v>
      </c>
      <c r="R40" s="39" t="str">
        <f t="shared" si="16"/>
        <v/>
      </c>
      <c r="S40" s="78"/>
      <c r="T40" s="20"/>
      <c r="U40" s="21"/>
      <c r="V40" s="12" t="str">
        <f t="shared" si="5"/>
        <v/>
      </c>
      <c r="W40" s="22" t="str">
        <f t="shared" si="2"/>
        <v/>
      </c>
      <c r="X40" s="22"/>
      <c r="Y40" s="22"/>
      <c r="Z40" s="29"/>
      <c r="AA40" s="26"/>
    </row>
    <row r="41" spans="1:33" ht="13" x14ac:dyDescent="0.3">
      <c r="A41" s="67">
        <v>26</v>
      </c>
      <c r="B41" s="49"/>
      <c r="C41" s="49"/>
      <c r="D41" s="46"/>
      <c r="E41" s="67">
        <v>1</v>
      </c>
      <c r="F41" s="67">
        <v>73510</v>
      </c>
      <c r="G41" s="12">
        <f t="shared" si="3"/>
        <v>0.31608796296296299</v>
      </c>
      <c r="H41" s="19">
        <f t="shared" si="6"/>
        <v>6.94444444444553E-5</v>
      </c>
      <c r="I41" s="19" t="str">
        <f t="shared" si="7"/>
        <v/>
      </c>
      <c r="J41" s="19" t="str">
        <f t="shared" si="8"/>
        <v/>
      </c>
      <c r="K41" s="19" t="str">
        <f t="shared" si="9"/>
        <v/>
      </c>
      <c r="L41" s="19" t="str">
        <f t="shared" si="10"/>
        <v/>
      </c>
      <c r="M41" s="19" t="str">
        <f t="shared" si="11"/>
        <v/>
      </c>
      <c r="N41" s="19" t="str">
        <f t="shared" si="12"/>
        <v/>
      </c>
      <c r="O41" s="19" t="str">
        <f t="shared" si="13"/>
        <v/>
      </c>
      <c r="P41" s="19" t="str">
        <f t="shared" si="14"/>
        <v/>
      </c>
      <c r="Q41" s="12">
        <f t="shared" si="15"/>
        <v>6.94444444444553E-5</v>
      </c>
      <c r="R41" s="39">
        <f t="shared" si="16"/>
        <v>0.1</v>
      </c>
      <c r="S41" s="78"/>
      <c r="T41" s="20"/>
      <c r="U41" s="31"/>
      <c r="V41" s="12">
        <f t="shared" si="5"/>
        <v>6.94444444444553E-5</v>
      </c>
      <c r="W41" s="22" t="str">
        <f t="shared" si="2"/>
        <v/>
      </c>
      <c r="X41" s="22"/>
      <c r="Y41" s="22"/>
      <c r="Z41" s="29"/>
      <c r="AA41" s="26"/>
      <c r="AB41" s="37">
        <f>AB39/60</f>
        <v>2.6930555555555555</v>
      </c>
    </row>
    <row r="42" spans="1:33" ht="13" x14ac:dyDescent="0.3">
      <c r="A42" s="67">
        <v>27</v>
      </c>
      <c r="B42" s="48"/>
      <c r="C42" s="49"/>
      <c r="D42" s="46"/>
      <c r="E42" s="67">
        <v>1</v>
      </c>
      <c r="F42" s="67">
        <v>73533</v>
      </c>
      <c r="G42" s="12">
        <f t="shared" si="3"/>
        <v>0.31635416666666666</v>
      </c>
      <c r="H42" s="19">
        <f t="shared" si="6"/>
        <v>2.662037037036713E-4</v>
      </c>
      <c r="I42" s="19" t="str">
        <f>IFERROR(IF(E42=2,Q42,""),"")</f>
        <v/>
      </c>
      <c r="J42" s="19" t="str">
        <f t="shared" si="8"/>
        <v/>
      </c>
      <c r="K42" s="19" t="str">
        <f t="shared" si="9"/>
        <v/>
      </c>
      <c r="L42" s="19" t="str">
        <f t="shared" si="10"/>
        <v/>
      </c>
      <c r="M42" s="19" t="str">
        <f t="shared" si="11"/>
        <v/>
      </c>
      <c r="N42" s="19" t="str">
        <f t="shared" si="12"/>
        <v/>
      </c>
      <c r="O42" s="19" t="str">
        <f t="shared" si="13"/>
        <v/>
      </c>
      <c r="P42" s="19" t="str">
        <f t="shared" si="14"/>
        <v/>
      </c>
      <c r="Q42" s="12">
        <f t="shared" si="15"/>
        <v>2.662037037036713E-4</v>
      </c>
      <c r="R42" s="39">
        <f t="shared" si="16"/>
        <v>0.38333333333333336</v>
      </c>
      <c r="S42" s="78"/>
      <c r="T42" s="20"/>
      <c r="U42" s="21"/>
      <c r="V42" s="12">
        <f t="shared" si="5"/>
        <v>2.662037037036713E-4</v>
      </c>
      <c r="W42" s="22">
        <f t="shared" si="2"/>
        <v>23</v>
      </c>
      <c r="X42" s="22"/>
      <c r="Y42" s="22"/>
      <c r="Z42" s="11"/>
    </row>
    <row r="43" spans="1:33" ht="13" x14ac:dyDescent="0.3">
      <c r="A43" s="67">
        <v>28</v>
      </c>
      <c r="B43" s="48"/>
      <c r="C43" s="49"/>
      <c r="D43" s="46"/>
      <c r="E43" s="67">
        <v>1</v>
      </c>
      <c r="F43" s="67">
        <v>73556</v>
      </c>
      <c r="G43" s="12">
        <f t="shared" si="3"/>
        <v>0.31662037037037033</v>
      </c>
      <c r="H43" s="19">
        <f t="shared" si="6"/>
        <v>2.662037037036713E-4</v>
      </c>
      <c r="I43" s="19" t="str">
        <f t="shared" si="7"/>
        <v/>
      </c>
      <c r="J43" s="19" t="str">
        <f t="shared" si="8"/>
        <v/>
      </c>
      <c r="K43" s="19" t="str">
        <f t="shared" si="9"/>
        <v/>
      </c>
      <c r="L43" s="19" t="str">
        <f t="shared" si="10"/>
        <v/>
      </c>
      <c r="M43" s="19" t="str">
        <f t="shared" si="11"/>
        <v/>
      </c>
      <c r="N43" s="19" t="str">
        <f t="shared" si="12"/>
        <v/>
      </c>
      <c r="O43" s="19" t="str">
        <f t="shared" si="13"/>
        <v/>
      </c>
      <c r="P43" s="19" t="str">
        <f t="shared" si="14"/>
        <v/>
      </c>
      <c r="Q43" s="12">
        <f t="shared" si="15"/>
        <v>2.662037037036713E-4</v>
      </c>
      <c r="R43" s="39">
        <f t="shared" si="16"/>
        <v>0.38333333333333336</v>
      </c>
      <c r="S43" s="78"/>
      <c r="T43" s="20"/>
      <c r="U43" s="21"/>
      <c r="V43" s="12">
        <f t="shared" si="5"/>
        <v>2.662037037036713E-4</v>
      </c>
      <c r="W43" s="22">
        <f t="shared" si="2"/>
        <v>23</v>
      </c>
      <c r="X43" s="22"/>
      <c r="Y43" s="22"/>
      <c r="Z43" s="11"/>
      <c r="AA43" s="24" t="s">
        <v>26</v>
      </c>
      <c r="AB43" s="27"/>
      <c r="AC43" s="28">
        <v>87</v>
      </c>
      <c r="AD43" s="25">
        <v>92</v>
      </c>
    </row>
    <row r="44" spans="1:33" ht="13" x14ac:dyDescent="0.3">
      <c r="A44" s="67">
        <v>29</v>
      </c>
      <c r="B44" s="49"/>
      <c r="C44" s="49"/>
      <c r="D44" s="64"/>
      <c r="E44" s="67">
        <v>1</v>
      </c>
      <c r="F44" s="67">
        <v>73619</v>
      </c>
      <c r="G44" s="12">
        <f t="shared" si="3"/>
        <v>0.31688657407407406</v>
      </c>
      <c r="H44" s="38">
        <f t="shared" si="6"/>
        <v>2.6620370370372681E-4</v>
      </c>
      <c r="I44" s="19" t="str">
        <f t="shared" si="7"/>
        <v/>
      </c>
      <c r="J44" s="19" t="str">
        <f t="shared" si="8"/>
        <v/>
      </c>
      <c r="K44" s="19" t="str">
        <f t="shared" si="9"/>
        <v/>
      </c>
      <c r="L44" s="19" t="str">
        <f t="shared" si="10"/>
        <v/>
      </c>
      <c r="M44" s="19" t="str">
        <f t="shared" si="11"/>
        <v/>
      </c>
      <c r="N44" s="19" t="str">
        <f t="shared" si="12"/>
        <v/>
      </c>
      <c r="O44" s="19" t="str">
        <f t="shared" si="13"/>
        <v/>
      </c>
      <c r="P44" s="19" t="str">
        <f t="shared" si="14"/>
        <v/>
      </c>
      <c r="Q44" s="12">
        <f t="shared" si="15"/>
        <v>2.6620370370372681E-4</v>
      </c>
      <c r="R44" s="39">
        <f t="shared" si="16"/>
        <v>0.38333333333333336</v>
      </c>
      <c r="S44" s="78"/>
      <c r="T44" s="20"/>
      <c r="U44" s="21"/>
      <c r="V44" s="12">
        <f t="shared" si="5"/>
        <v>2.6620370370372681E-4</v>
      </c>
      <c r="W44" s="22">
        <f t="shared" si="2"/>
        <v>23</v>
      </c>
      <c r="X44" s="22"/>
      <c r="Y44" s="22"/>
      <c r="Z44" s="11"/>
      <c r="AA44" s="56" t="s">
        <v>27</v>
      </c>
      <c r="AB44" s="37">
        <v>130</v>
      </c>
      <c r="AC44" s="25">
        <f>AVERAGE(AC43:AD43)/100</f>
        <v>0.89500000000000002</v>
      </c>
      <c r="AD44" s="25"/>
      <c r="AG44" s="39"/>
    </row>
    <row r="45" spans="1:33" ht="13" x14ac:dyDescent="0.3">
      <c r="A45" s="67">
        <v>30</v>
      </c>
      <c r="B45" s="49"/>
      <c r="C45" s="49"/>
      <c r="D45" s="49"/>
      <c r="E45" s="67">
        <v>1</v>
      </c>
      <c r="F45" s="67">
        <v>73640</v>
      </c>
      <c r="G45" s="12">
        <f t="shared" si="3"/>
        <v>0.31712962962962959</v>
      </c>
      <c r="H45" s="19">
        <f t="shared" si="6"/>
        <v>2.4305555555553804E-4</v>
      </c>
      <c r="I45" s="19" t="str">
        <f t="shared" si="7"/>
        <v/>
      </c>
      <c r="J45" s="19" t="str">
        <f t="shared" si="8"/>
        <v/>
      </c>
      <c r="K45" s="19" t="str">
        <f t="shared" si="9"/>
        <v/>
      </c>
      <c r="L45" s="19" t="str">
        <f t="shared" si="10"/>
        <v/>
      </c>
      <c r="M45" s="19" t="str">
        <f t="shared" si="11"/>
        <v/>
      </c>
      <c r="N45" s="19" t="str">
        <f t="shared" si="12"/>
        <v/>
      </c>
      <c r="O45" s="19" t="str">
        <f t="shared" si="13"/>
        <v/>
      </c>
      <c r="P45" s="19" t="str">
        <f t="shared" si="14"/>
        <v/>
      </c>
      <c r="Q45" s="12">
        <f t="shared" si="15"/>
        <v>2.4305555555553804E-4</v>
      </c>
      <c r="R45" s="39">
        <f t="shared" si="16"/>
        <v>0.35</v>
      </c>
      <c r="S45" s="78" t="s">
        <v>43</v>
      </c>
      <c r="T45" s="20"/>
      <c r="U45" s="21"/>
      <c r="V45" s="12">
        <f t="shared" si="5"/>
        <v>2.4305555555553804E-4</v>
      </c>
      <c r="W45" s="22">
        <f t="shared" si="2"/>
        <v>21</v>
      </c>
      <c r="X45" s="22"/>
      <c r="Y45" s="22"/>
      <c r="Z45" s="11"/>
      <c r="AA45" s="24"/>
      <c r="AB45" s="24"/>
      <c r="AC45" s="25"/>
      <c r="AD45" s="25"/>
      <c r="AG45" s="39"/>
    </row>
    <row r="46" spans="1:33" ht="13" x14ac:dyDescent="0.3">
      <c r="A46" s="67">
        <v>31</v>
      </c>
      <c r="B46" s="48"/>
      <c r="C46" s="49"/>
      <c r="D46" s="49"/>
      <c r="E46" s="67">
        <v>4</v>
      </c>
      <c r="F46" s="67">
        <v>73704</v>
      </c>
      <c r="G46" s="12">
        <f t="shared" si="3"/>
        <v>0.31740740740740742</v>
      </c>
      <c r="H46" s="19" t="str">
        <f t="shared" si="6"/>
        <v/>
      </c>
      <c r="I46" s="19" t="str">
        <f t="shared" si="7"/>
        <v/>
      </c>
      <c r="J46" s="19" t="str">
        <f t="shared" si="8"/>
        <v/>
      </c>
      <c r="K46" s="19">
        <f t="shared" si="9"/>
        <v>2.777777777778212E-4</v>
      </c>
      <c r="L46" s="19" t="str">
        <f t="shared" si="10"/>
        <v/>
      </c>
      <c r="M46" s="19" t="str">
        <f t="shared" si="11"/>
        <v/>
      </c>
      <c r="N46" s="19" t="str">
        <f t="shared" si="12"/>
        <v/>
      </c>
      <c r="O46" s="19" t="str">
        <f t="shared" si="13"/>
        <v/>
      </c>
      <c r="P46" s="19" t="str">
        <f t="shared" si="14"/>
        <v/>
      </c>
      <c r="Q46" s="12">
        <f>G46-G45</f>
        <v>2.777777777778212E-4</v>
      </c>
      <c r="R46" s="39" t="str">
        <f t="shared" si="16"/>
        <v/>
      </c>
      <c r="S46" s="78"/>
      <c r="T46" s="20"/>
      <c r="U46" s="21"/>
      <c r="V46" s="12" t="str">
        <f t="shared" si="5"/>
        <v/>
      </c>
      <c r="W46" s="22" t="str">
        <f t="shared" si="2"/>
        <v/>
      </c>
      <c r="X46" s="22"/>
      <c r="Y46" s="22"/>
      <c r="Z46" s="11"/>
      <c r="AA46" s="57" t="s">
        <v>30</v>
      </c>
      <c r="AB46" s="27">
        <f>AB44*AC44</f>
        <v>116.35000000000001</v>
      </c>
      <c r="AC46" s="28"/>
      <c r="AD46" s="25"/>
    </row>
    <row r="47" spans="1:33" ht="13" x14ac:dyDescent="0.3">
      <c r="A47" s="67">
        <v>33</v>
      </c>
      <c r="B47" s="48">
        <v>9</v>
      </c>
      <c r="C47" s="49"/>
      <c r="D47" s="49">
        <v>5</v>
      </c>
      <c r="E47" s="67">
        <v>7</v>
      </c>
      <c r="F47" s="67">
        <v>73728</v>
      </c>
      <c r="G47" s="12">
        <f>IF(LEN(F47)=5,TIMEVALUE(LEFT(F47,1)&amp;":"&amp;MID(F47,2,2)&amp;":"&amp;RIGHT(F47,2)),IF(LEN(F47)=6,TIMEVALUE(LEFT(F47,2)&amp;":"&amp;MID(F47,3,2)&amp;":"&amp;RIGHT(F47,2)),""))</f>
        <v>0.31768518518518518</v>
      </c>
      <c r="H47" s="19" t="str">
        <f>IFERROR(IF(E47=1,Q47,""),"")</f>
        <v/>
      </c>
      <c r="I47" s="19" t="str">
        <f t="shared" si="7"/>
        <v/>
      </c>
      <c r="J47" s="19" t="str">
        <f t="shared" si="8"/>
        <v/>
      </c>
      <c r="K47" s="19" t="str">
        <f t="shared" si="9"/>
        <v/>
      </c>
      <c r="L47" s="19" t="str">
        <f t="shared" si="10"/>
        <v/>
      </c>
      <c r="M47" s="19" t="str">
        <f t="shared" si="11"/>
        <v/>
      </c>
      <c r="N47" s="19">
        <f t="shared" si="12"/>
        <v>2.7777777777776569E-4</v>
      </c>
      <c r="O47" s="19" t="str">
        <f t="shared" si="13"/>
        <v/>
      </c>
      <c r="P47" s="19" t="str">
        <f t="shared" si="14"/>
        <v/>
      </c>
      <c r="Q47" s="12">
        <f>G47-G46</f>
        <v>2.7777777777776569E-4</v>
      </c>
      <c r="R47" s="39" t="str">
        <f t="shared" si="16"/>
        <v/>
      </c>
      <c r="S47" s="78"/>
      <c r="T47" s="20"/>
      <c r="U47" s="21"/>
      <c r="V47" s="12" t="str">
        <f t="shared" si="5"/>
        <v/>
      </c>
      <c r="W47" s="22" t="str">
        <f t="shared" si="2"/>
        <v/>
      </c>
      <c r="X47" s="22"/>
      <c r="Y47" s="22"/>
      <c r="AA47" s="57" t="s">
        <v>31</v>
      </c>
      <c r="AB47" s="60">
        <f>AD26/AC47</f>
        <v>96.660389202762076</v>
      </c>
      <c r="AC47" s="61">
        <v>1.77</v>
      </c>
      <c r="AD47" s="25" t="s">
        <v>32</v>
      </c>
    </row>
    <row r="48" spans="1:33" ht="13" x14ac:dyDescent="0.3">
      <c r="A48" s="67">
        <v>34</v>
      </c>
      <c r="B48" s="48"/>
      <c r="C48" s="49"/>
      <c r="D48" s="49"/>
      <c r="E48" s="67">
        <v>1</v>
      </c>
      <c r="F48" s="67">
        <v>73734</v>
      </c>
      <c r="G48" s="12">
        <f t="shared" si="3"/>
        <v>0.31775462962962964</v>
      </c>
      <c r="H48" s="19">
        <f t="shared" si="6"/>
        <v>6.94444444444553E-5</v>
      </c>
      <c r="I48" s="19" t="str">
        <f t="shared" si="7"/>
        <v/>
      </c>
      <c r="J48" s="19" t="str">
        <f t="shared" si="8"/>
        <v/>
      </c>
      <c r="K48" s="19" t="str">
        <f t="shared" si="9"/>
        <v/>
      </c>
      <c r="L48" s="19" t="str">
        <f t="shared" si="10"/>
        <v/>
      </c>
      <c r="M48" s="19" t="str">
        <f t="shared" si="11"/>
        <v/>
      </c>
      <c r="N48" s="19" t="str">
        <f t="shared" si="12"/>
        <v/>
      </c>
      <c r="O48" s="19" t="str">
        <f t="shared" si="13"/>
        <v/>
      </c>
      <c r="P48" s="19" t="str">
        <f t="shared" si="14"/>
        <v/>
      </c>
      <c r="Q48" s="12">
        <f t="shared" si="15"/>
        <v>6.94444444444553E-5</v>
      </c>
      <c r="R48" s="39">
        <f t="shared" si="16"/>
        <v>0.1</v>
      </c>
      <c r="S48" s="78"/>
      <c r="T48" s="20"/>
      <c r="U48" s="21"/>
      <c r="V48" s="12">
        <f t="shared" si="5"/>
        <v>6.94444444444553E-5</v>
      </c>
      <c r="W48" s="22" t="str">
        <f t="shared" si="2"/>
        <v/>
      </c>
      <c r="X48" s="22"/>
      <c r="Y48" s="65"/>
      <c r="AA48" s="56" t="s">
        <v>28</v>
      </c>
      <c r="AB48" s="37">
        <v>22</v>
      </c>
      <c r="AC48" s="25">
        <v>100</v>
      </c>
      <c r="AD48" s="25"/>
    </row>
    <row r="49" spans="1:30" ht="13" x14ac:dyDescent="0.3">
      <c r="A49" s="67">
        <v>35</v>
      </c>
      <c r="B49" s="48"/>
      <c r="C49" s="49"/>
      <c r="D49" s="45"/>
      <c r="E49" s="67">
        <v>1</v>
      </c>
      <c r="F49" s="67">
        <v>73755</v>
      </c>
      <c r="G49" s="12">
        <f t="shared" si="3"/>
        <v>0.31799768518518517</v>
      </c>
      <c r="H49" s="19">
        <f t="shared" si="6"/>
        <v>2.4305555555553804E-4</v>
      </c>
      <c r="I49" s="19" t="str">
        <f t="shared" si="7"/>
        <v/>
      </c>
      <c r="J49" s="19" t="str">
        <f t="shared" si="8"/>
        <v/>
      </c>
      <c r="K49" s="19" t="str">
        <f t="shared" si="9"/>
        <v/>
      </c>
      <c r="L49" s="19" t="str">
        <f t="shared" si="10"/>
        <v/>
      </c>
      <c r="M49" s="19" t="str">
        <f t="shared" si="11"/>
        <v/>
      </c>
      <c r="N49" s="19" t="str">
        <f t="shared" si="12"/>
        <v/>
      </c>
      <c r="O49" s="19" t="str">
        <f t="shared" si="13"/>
        <v/>
      </c>
      <c r="P49" s="19" t="str">
        <f t="shared" si="14"/>
        <v/>
      </c>
      <c r="Q49" s="12">
        <f t="shared" si="15"/>
        <v>2.4305555555553804E-4</v>
      </c>
      <c r="R49" s="39">
        <f t="shared" si="16"/>
        <v>0.35</v>
      </c>
      <c r="S49" s="78"/>
      <c r="T49" s="20"/>
      <c r="U49" s="31"/>
      <c r="V49" s="12">
        <f t="shared" si="5"/>
        <v>2.4305555555553804E-4</v>
      </c>
      <c r="W49" s="22">
        <f t="shared" si="2"/>
        <v>21</v>
      </c>
      <c r="X49" s="22"/>
      <c r="Y49" s="65"/>
      <c r="AA49" s="56" t="s">
        <v>29</v>
      </c>
      <c r="AB49" s="55" t="e">
        <f>AB46/AC39</f>
        <v>#DIV/0!</v>
      </c>
      <c r="AC49" s="58" t="e">
        <f>AB49*AC48/AB48</f>
        <v>#DIV/0!</v>
      </c>
      <c r="AD49" s="25" t="s">
        <v>16</v>
      </c>
    </row>
    <row r="50" spans="1:30" ht="13" x14ac:dyDescent="0.3">
      <c r="A50" s="67">
        <v>36</v>
      </c>
      <c r="B50" s="48"/>
      <c r="C50" s="49"/>
      <c r="D50" s="46"/>
      <c r="E50" s="67">
        <v>1</v>
      </c>
      <c r="F50" s="67">
        <v>73820</v>
      </c>
      <c r="G50" s="12">
        <f t="shared" si="3"/>
        <v>0.31828703703703703</v>
      </c>
      <c r="H50" s="19">
        <f t="shared" si="6"/>
        <v>2.8935185185186008E-4</v>
      </c>
      <c r="I50" s="19" t="str">
        <f t="shared" si="7"/>
        <v/>
      </c>
      <c r="J50" s="19" t="str">
        <f t="shared" si="8"/>
        <v/>
      </c>
      <c r="K50" s="19" t="str">
        <f t="shared" si="9"/>
        <v/>
      </c>
      <c r="L50" s="19" t="str">
        <f t="shared" si="10"/>
        <v/>
      </c>
      <c r="M50" s="19" t="str">
        <f t="shared" si="11"/>
        <v/>
      </c>
      <c r="N50" s="19" t="str">
        <f t="shared" si="12"/>
        <v/>
      </c>
      <c r="O50" s="19" t="str">
        <f t="shared" si="13"/>
        <v/>
      </c>
      <c r="P50" s="19" t="str">
        <f t="shared" si="14"/>
        <v/>
      </c>
      <c r="Q50" s="12">
        <f t="shared" si="15"/>
        <v>2.8935185185186008E-4</v>
      </c>
      <c r="R50" s="39">
        <f t="shared" si="16"/>
        <v>0.41666666666666669</v>
      </c>
      <c r="S50" s="78"/>
      <c r="T50" s="20"/>
      <c r="U50" s="21"/>
      <c r="V50" s="12">
        <f t="shared" si="5"/>
        <v>2.8935185185186008E-4</v>
      </c>
      <c r="W50" s="22">
        <f t="shared" si="2"/>
        <v>25</v>
      </c>
      <c r="X50" s="22"/>
      <c r="Y50" s="65"/>
      <c r="AB50" s="62" t="e">
        <f>AB47/AC39</f>
        <v>#DIV/0!</v>
      </c>
      <c r="AC50" s="58" t="e">
        <f>AB50/AB48</f>
        <v>#DIV/0!</v>
      </c>
      <c r="AD50" s="25" t="s">
        <v>16</v>
      </c>
    </row>
    <row r="51" spans="1:30" x14ac:dyDescent="0.25">
      <c r="A51" s="67">
        <v>37</v>
      </c>
      <c r="B51" s="48"/>
      <c r="C51" s="49"/>
      <c r="D51" s="46"/>
      <c r="E51" s="67">
        <v>1</v>
      </c>
      <c r="F51" s="67">
        <v>73841</v>
      </c>
      <c r="G51" s="12">
        <f t="shared" si="3"/>
        <v>0.31853009259259263</v>
      </c>
      <c r="H51" s="19">
        <f t="shared" si="6"/>
        <v>2.4305555555559355E-4</v>
      </c>
      <c r="I51" s="19" t="str">
        <f t="shared" si="7"/>
        <v/>
      </c>
      <c r="J51" s="19" t="str">
        <f t="shared" si="8"/>
        <v/>
      </c>
      <c r="K51" s="19" t="str">
        <f t="shared" si="9"/>
        <v/>
      </c>
      <c r="L51" s="19" t="str">
        <f t="shared" si="10"/>
        <v/>
      </c>
      <c r="M51" s="19" t="str">
        <f t="shared" si="11"/>
        <v/>
      </c>
      <c r="N51" s="19" t="str">
        <f t="shared" si="12"/>
        <v/>
      </c>
      <c r="O51" s="19" t="str">
        <f t="shared" si="13"/>
        <v/>
      </c>
      <c r="P51" s="19" t="str">
        <f t="shared" si="14"/>
        <v/>
      </c>
      <c r="Q51" s="12">
        <f t="shared" si="15"/>
        <v>2.4305555555559355E-4</v>
      </c>
      <c r="R51" s="39">
        <f t="shared" si="16"/>
        <v>0.35</v>
      </c>
      <c r="S51" s="78"/>
      <c r="T51" s="20"/>
      <c r="U51" s="21"/>
      <c r="V51" s="12">
        <f t="shared" si="5"/>
        <v>2.4305555555559355E-4</v>
      </c>
      <c r="W51" s="22">
        <f t="shared" si="2"/>
        <v>21</v>
      </c>
      <c r="X51" s="22"/>
      <c r="Y51" s="65"/>
      <c r="AB51" s="8">
        <f>AB46/AB48</f>
        <v>5.288636363636364</v>
      </c>
    </row>
    <row r="52" spans="1:30" x14ac:dyDescent="0.25">
      <c r="A52" s="67">
        <v>38</v>
      </c>
      <c r="B52" s="48"/>
      <c r="C52" s="49"/>
      <c r="D52" s="46"/>
      <c r="E52" s="67">
        <v>1</v>
      </c>
      <c r="F52" s="67">
        <v>73857</v>
      </c>
      <c r="G52" s="12">
        <f t="shared" si="3"/>
        <v>0.31871527777777781</v>
      </c>
      <c r="H52" s="19">
        <f t="shared" si="6"/>
        <v>1.8518518518517713E-4</v>
      </c>
      <c r="I52" s="19" t="str">
        <f t="shared" si="7"/>
        <v/>
      </c>
      <c r="J52" s="19" t="str">
        <f t="shared" si="8"/>
        <v/>
      </c>
      <c r="K52" s="19" t="str">
        <f t="shared" si="9"/>
        <v/>
      </c>
      <c r="L52" s="19" t="str">
        <f t="shared" si="10"/>
        <v/>
      </c>
      <c r="M52" s="19" t="str">
        <f t="shared" si="11"/>
        <v/>
      </c>
      <c r="N52" s="19" t="str">
        <f t="shared" si="12"/>
        <v/>
      </c>
      <c r="O52" s="19" t="str">
        <f t="shared" si="13"/>
        <v/>
      </c>
      <c r="P52" s="19" t="str">
        <f t="shared" si="14"/>
        <v/>
      </c>
      <c r="Q52" s="12">
        <f t="shared" si="15"/>
        <v>1.8518518518517713E-4</v>
      </c>
      <c r="R52" s="39">
        <f t="shared" si="16"/>
        <v>0.26666666666666666</v>
      </c>
      <c r="S52" s="78" t="s">
        <v>44</v>
      </c>
      <c r="T52" s="20"/>
      <c r="U52" s="21"/>
      <c r="V52" s="12">
        <f t="shared" si="5"/>
        <v>1.8518518518517713E-4</v>
      </c>
      <c r="W52" s="22">
        <f t="shared" si="2"/>
        <v>16</v>
      </c>
      <c r="X52" s="22"/>
      <c r="Y52" s="22"/>
    </row>
    <row r="53" spans="1:30" ht="13" x14ac:dyDescent="0.3">
      <c r="A53" s="67">
        <v>39</v>
      </c>
      <c r="B53" s="48"/>
      <c r="C53" s="49"/>
      <c r="D53" s="46"/>
      <c r="E53" s="67">
        <v>4</v>
      </c>
      <c r="F53" s="67">
        <v>73918</v>
      </c>
      <c r="G53" s="12">
        <f t="shared" si="3"/>
        <v>0.31895833333333334</v>
      </c>
      <c r="H53" s="19" t="str">
        <f t="shared" si="6"/>
        <v/>
      </c>
      <c r="I53" s="19" t="str">
        <f t="shared" si="7"/>
        <v/>
      </c>
      <c r="J53" s="19" t="str">
        <f t="shared" si="8"/>
        <v/>
      </c>
      <c r="K53" s="19">
        <f t="shared" si="9"/>
        <v>2.4305555555553804E-4</v>
      </c>
      <c r="L53" s="19" t="str">
        <f t="shared" si="10"/>
        <v/>
      </c>
      <c r="M53" s="19" t="str">
        <f t="shared" si="11"/>
        <v/>
      </c>
      <c r="N53" s="19" t="str">
        <f t="shared" si="12"/>
        <v/>
      </c>
      <c r="O53" s="19" t="str">
        <f t="shared" si="13"/>
        <v/>
      </c>
      <c r="P53" s="19" t="str">
        <f t="shared" si="14"/>
        <v/>
      </c>
      <c r="Q53" s="12">
        <f t="shared" si="15"/>
        <v>2.4305555555553804E-4</v>
      </c>
      <c r="R53" s="39" t="str">
        <f t="shared" si="16"/>
        <v/>
      </c>
      <c r="S53" s="78"/>
      <c r="T53" s="20"/>
      <c r="U53" s="21"/>
      <c r="V53" s="12" t="str">
        <f t="shared" si="5"/>
        <v/>
      </c>
      <c r="W53" s="22" t="str">
        <f t="shared" si="2"/>
        <v/>
      </c>
      <c r="X53" s="22"/>
      <c r="Y53" s="22"/>
      <c r="AB53" s="59">
        <f>22*0.9*6</f>
        <v>118.80000000000001</v>
      </c>
    </row>
    <row r="54" spans="1:30" x14ac:dyDescent="0.25">
      <c r="A54" s="67">
        <v>40</v>
      </c>
      <c r="B54" s="48"/>
      <c r="C54" s="49"/>
      <c r="D54" s="46"/>
      <c r="E54" s="67">
        <v>8</v>
      </c>
      <c r="F54" s="67">
        <v>74428</v>
      </c>
      <c r="G54" s="12">
        <f t="shared" si="3"/>
        <v>0.32254629629629633</v>
      </c>
      <c r="H54" s="19" t="str">
        <f t="shared" si="6"/>
        <v/>
      </c>
      <c r="I54" s="19" t="str">
        <f t="shared" si="7"/>
        <v/>
      </c>
      <c r="J54" s="19" t="str">
        <f t="shared" si="8"/>
        <v/>
      </c>
      <c r="K54" s="19" t="str">
        <f t="shared" si="9"/>
        <v/>
      </c>
      <c r="L54" s="19" t="str">
        <f t="shared" si="10"/>
        <v/>
      </c>
      <c r="M54" s="19" t="str">
        <f t="shared" si="11"/>
        <v/>
      </c>
      <c r="N54" s="19" t="str">
        <f t="shared" si="12"/>
        <v/>
      </c>
      <c r="O54" s="19">
        <f t="shared" si="13"/>
        <v>3.5879629629629872E-3</v>
      </c>
      <c r="P54" s="19" t="str">
        <f t="shared" si="14"/>
        <v/>
      </c>
      <c r="Q54" s="12">
        <f t="shared" si="15"/>
        <v>3.5879629629629872E-3</v>
      </c>
      <c r="R54" s="39" t="str">
        <f t="shared" si="16"/>
        <v/>
      </c>
      <c r="S54" s="78"/>
      <c r="T54" s="20"/>
      <c r="U54" s="21"/>
      <c r="V54" s="12" t="str">
        <f t="shared" si="5"/>
        <v/>
      </c>
      <c r="W54" s="22" t="str">
        <f t="shared" si="2"/>
        <v/>
      </c>
      <c r="X54" s="22"/>
      <c r="Y54" s="22"/>
    </row>
    <row r="55" spans="1:30" x14ac:dyDescent="0.25">
      <c r="A55" s="67">
        <v>41</v>
      </c>
      <c r="B55" s="48">
        <v>5</v>
      </c>
      <c r="C55" s="49"/>
      <c r="D55" s="64">
        <v>5</v>
      </c>
      <c r="E55" s="67">
        <v>7</v>
      </c>
      <c r="F55" s="67">
        <v>74503</v>
      </c>
      <c r="G55" s="12">
        <f t="shared" si="3"/>
        <v>0.32295138888888891</v>
      </c>
      <c r="H55" s="19" t="str">
        <f t="shared" si="6"/>
        <v/>
      </c>
      <c r="I55" s="19" t="str">
        <f t="shared" si="7"/>
        <v/>
      </c>
      <c r="J55" s="19" t="str">
        <f t="shared" si="8"/>
        <v/>
      </c>
      <c r="K55" s="19" t="str">
        <f t="shared" si="9"/>
        <v/>
      </c>
      <c r="L55" s="19" t="str">
        <f t="shared" si="10"/>
        <v/>
      </c>
      <c r="M55" s="19" t="str">
        <f t="shared" si="11"/>
        <v/>
      </c>
      <c r="N55" s="19">
        <f t="shared" si="12"/>
        <v>4.050925925925819E-4</v>
      </c>
      <c r="O55" s="19" t="str">
        <f t="shared" si="13"/>
        <v/>
      </c>
      <c r="P55" s="19" t="str">
        <f t="shared" si="14"/>
        <v/>
      </c>
      <c r="Q55" s="12">
        <f t="shared" si="15"/>
        <v>4.050925925925819E-4</v>
      </c>
      <c r="R55" s="39" t="str">
        <f t="shared" si="16"/>
        <v/>
      </c>
      <c r="S55" s="78"/>
      <c r="T55" s="20"/>
      <c r="U55" s="21"/>
      <c r="V55" s="12" t="str">
        <f t="shared" si="5"/>
        <v/>
      </c>
      <c r="W55" s="22" t="str">
        <f t="shared" si="2"/>
        <v/>
      </c>
      <c r="X55" s="22"/>
      <c r="Y55" s="22"/>
      <c r="AC55" s="63" t="e">
        <f>AB50*AC47</f>
        <v>#DIV/0!</v>
      </c>
    </row>
    <row r="56" spans="1:30" x14ac:dyDescent="0.25">
      <c r="A56" s="67">
        <v>42</v>
      </c>
      <c r="B56" s="48"/>
      <c r="C56" s="49"/>
      <c r="D56" s="49"/>
      <c r="E56" s="67">
        <v>1</v>
      </c>
      <c r="F56" s="67">
        <v>74507</v>
      </c>
      <c r="G56" s="12">
        <f t="shared" si="3"/>
        <v>0.32299768518518518</v>
      </c>
      <c r="H56" s="19">
        <f t="shared" si="6"/>
        <v>4.6296296296266526E-5</v>
      </c>
      <c r="I56" s="19" t="str">
        <f t="shared" si="7"/>
        <v/>
      </c>
      <c r="J56" s="19" t="str">
        <f t="shared" si="8"/>
        <v/>
      </c>
      <c r="K56" s="19" t="str">
        <f t="shared" si="9"/>
        <v/>
      </c>
      <c r="L56" s="19" t="str">
        <f t="shared" si="10"/>
        <v/>
      </c>
      <c r="M56" s="19" t="str">
        <f t="shared" si="11"/>
        <v/>
      </c>
      <c r="N56" s="19" t="str">
        <f t="shared" si="12"/>
        <v/>
      </c>
      <c r="O56" s="19" t="str">
        <f t="shared" si="13"/>
        <v/>
      </c>
      <c r="P56" s="19" t="str">
        <f t="shared" si="14"/>
        <v/>
      </c>
      <c r="Q56" s="12">
        <f t="shared" si="15"/>
        <v>4.6296296296266526E-5</v>
      </c>
      <c r="R56" s="39">
        <f t="shared" si="16"/>
        <v>6.6666666666666666E-2</v>
      </c>
      <c r="S56" s="78"/>
      <c r="T56" s="20"/>
      <c r="U56" s="21"/>
      <c r="V56" s="12">
        <f t="shared" si="5"/>
        <v>4.6296296296266526E-5</v>
      </c>
      <c r="W56" s="22" t="str">
        <f t="shared" si="2"/>
        <v/>
      </c>
      <c r="X56" s="22"/>
      <c r="Y56" s="22"/>
    </row>
    <row r="57" spans="1:30" x14ac:dyDescent="0.25">
      <c r="A57" s="67">
        <v>43</v>
      </c>
      <c r="B57" s="48"/>
      <c r="C57" s="49"/>
      <c r="D57" s="49"/>
      <c r="E57" s="67">
        <v>1</v>
      </c>
      <c r="F57" s="67">
        <v>74529</v>
      </c>
      <c r="G57" s="12">
        <f>IF(LEN(F57)=5,TIMEVALUE(LEFT(F57,1)&amp;":"&amp;MID(F57,2,2)&amp;":"&amp;RIGHT(F57,2)),IF(LEN(F57)=6,TIMEVALUE(LEFT(F57,2)&amp;":"&amp;MID(F57,3,2)&amp;":"&amp;RIGHT(F57,2)),""))</f>
        <v>0.32325231481481481</v>
      </c>
      <c r="H57" s="19">
        <f t="shared" si="6"/>
        <v>2.5462962962963243E-4</v>
      </c>
      <c r="I57" s="19" t="str">
        <f t="shared" si="7"/>
        <v/>
      </c>
      <c r="J57" s="19" t="str">
        <f t="shared" si="8"/>
        <v/>
      </c>
      <c r="K57" s="19" t="str">
        <f t="shared" si="9"/>
        <v/>
      </c>
      <c r="L57" s="19" t="str">
        <f t="shared" si="10"/>
        <v/>
      </c>
      <c r="M57" s="19" t="str">
        <f t="shared" si="11"/>
        <v/>
      </c>
      <c r="N57" s="19" t="str">
        <f t="shared" si="12"/>
        <v/>
      </c>
      <c r="O57" s="19" t="str">
        <f t="shared" si="13"/>
        <v/>
      </c>
      <c r="P57" s="19" t="str">
        <f t="shared" si="14"/>
        <v/>
      </c>
      <c r="Q57" s="12">
        <f t="shared" si="15"/>
        <v>2.5462962962963243E-4</v>
      </c>
      <c r="R57" s="39">
        <f t="shared" si="16"/>
        <v>0.36666666666666664</v>
      </c>
      <c r="S57" s="78"/>
      <c r="T57" s="20"/>
      <c r="U57" s="21"/>
      <c r="V57" s="12">
        <f t="shared" si="5"/>
        <v>2.5462962962963243E-4</v>
      </c>
      <c r="W57" s="22">
        <f t="shared" si="2"/>
        <v>22</v>
      </c>
      <c r="X57" s="22"/>
      <c r="Y57" s="22"/>
    </row>
    <row r="58" spans="1:30" x14ac:dyDescent="0.25">
      <c r="A58" s="67">
        <v>44</v>
      </c>
      <c r="B58" s="48"/>
      <c r="C58" s="49"/>
      <c r="D58" s="49"/>
      <c r="E58" s="67">
        <v>1</v>
      </c>
      <c r="F58" s="67">
        <v>74554</v>
      </c>
      <c r="G58" s="12">
        <f t="shared" si="3"/>
        <v>0.32354166666666667</v>
      </c>
      <c r="H58" s="19">
        <f t="shared" si="6"/>
        <v>2.8935185185186008E-4</v>
      </c>
      <c r="I58" s="19" t="str">
        <f t="shared" si="7"/>
        <v/>
      </c>
      <c r="J58" s="19" t="str">
        <f t="shared" si="8"/>
        <v/>
      </c>
      <c r="K58" s="19" t="str">
        <f t="shared" si="9"/>
        <v/>
      </c>
      <c r="L58" s="19" t="str">
        <f t="shared" si="10"/>
        <v/>
      </c>
      <c r="M58" s="19" t="str">
        <f t="shared" si="11"/>
        <v/>
      </c>
      <c r="N58" s="19" t="str">
        <f t="shared" si="12"/>
        <v/>
      </c>
      <c r="O58" s="19" t="str">
        <f t="shared" si="13"/>
        <v/>
      </c>
      <c r="P58" s="19" t="str">
        <f t="shared" si="14"/>
        <v/>
      </c>
      <c r="Q58" s="12">
        <f t="shared" si="15"/>
        <v>2.8935185185186008E-4</v>
      </c>
      <c r="R58" s="39">
        <f t="shared" si="16"/>
        <v>0.41666666666666669</v>
      </c>
      <c r="S58" s="78"/>
      <c r="T58" s="20"/>
      <c r="U58" s="21"/>
      <c r="V58" s="12">
        <f t="shared" si="5"/>
        <v>2.8935185185186008E-4</v>
      </c>
      <c r="W58" s="22">
        <f t="shared" si="2"/>
        <v>25</v>
      </c>
      <c r="X58" s="22"/>
      <c r="Y58" s="22"/>
    </row>
    <row r="59" spans="1:30" x14ac:dyDescent="0.25">
      <c r="A59" s="67">
        <v>45</v>
      </c>
      <c r="B59" s="48"/>
      <c r="C59" s="49"/>
      <c r="D59" s="49"/>
      <c r="E59" s="67">
        <v>1</v>
      </c>
      <c r="F59" s="67">
        <v>74617</v>
      </c>
      <c r="G59" s="12">
        <f t="shared" si="3"/>
        <v>0.32380787037037034</v>
      </c>
      <c r="H59" s="19">
        <f t="shared" si="6"/>
        <v>2.662037037036713E-4</v>
      </c>
      <c r="I59" s="19" t="str">
        <f t="shared" si="7"/>
        <v/>
      </c>
      <c r="J59" s="19" t="str">
        <f t="shared" si="8"/>
        <v/>
      </c>
      <c r="K59" s="19" t="str">
        <f t="shared" si="9"/>
        <v/>
      </c>
      <c r="L59" s="19" t="str">
        <f t="shared" si="10"/>
        <v/>
      </c>
      <c r="M59" s="19" t="str">
        <f t="shared" si="11"/>
        <v/>
      </c>
      <c r="N59" s="19" t="str">
        <f t="shared" si="12"/>
        <v/>
      </c>
      <c r="O59" s="19" t="str">
        <f t="shared" si="13"/>
        <v/>
      </c>
      <c r="P59" s="19" t="str">
        <f t="shared" si="14"/>
        <v/>
      </c>
      <c r="Q59" s="12">
        <f t="shared" si="15"/>
        <v>2.662037037036713E-4</v>
      </c>
      <c r="R59" s="39">
        <f t="shared" si="16"/>
        <v>0.38333333333333336</v>
      </c>
      <c r="S59" s="78"/>
      <c r="T59" s="20"/>
      <c r="U59" s="21"/>
      <c r="V59" s="12">
        <f t="shared" si="5"/>
        <v>2.662037037036713E-4</v>
      </c>
      <c r="W59" s="22">
        <f t="shared" si="2"/>
        <v>23</v>
      </c>
      <c r="X59" s="22"/>
      <c r="Y59" s="22"/>
    </row>
    <row r="60" spans="1:30" ht="13" x14ac:dyDescent="0.3">
      <c r="A60" s="67">
        <v>46</v>
      </c>
      <c r="B60" s="48"/>
      <c r="C60" s="49"/>
      <c r="D60" s="49"/>
      <c r="E60" s="67">
        <v>1</v>
      </c>
      <c r="F60" s="67">
        <v>74640</v>
      </c>
      <c r="G60" s="12">
        <f t="shared" si="3"/>
        <v>0.32407407407407407</v>
      </c>
      <c r="H60" s="19">
        <f t="shared" si="6"/>
        <v>2.6620370370372681E-4</v>
      </c>
      <c r="I60" s="19" t="str">
        <f t="shared" si="7"/>
        <v/>
      </c>
      <c r="J60" s="19" t="str">
        <f t="shared" si="8"/>
        <v/>
      </c>
      <c r="K60" s="19" t="str">
        <f t="shared" si="9"/>
        <v/>
      </c>
      <c r="L60" s="19" t="str">
        <f t="shared" si="10"/>
        <v/>
      </c>
      <c r="M60" s="19" t="str">
        <f t="shared" si="11"/>
        <v/>
      </c>
      <c r="N60" s="19" t="str">
        <f t="shared" si="12"/>
        <v/>
      </c>
      <c r="O60" s="19" t="str">
        <f t="shared" si="13"/>
        <v/>
      </c>
      <c r="P60" s="19" t="str">
        <f t="shared" si="14"/>
        <v/>
      </c>
      <c r="Q60" s="12">
        <f t="shared" si="15"/>
        <v>2.6620370370372681E-4</v>
      </c>
      <c r="R60" s="39">
        <f t="shared" si="16"/>
        <v>0.38333333333333336</v>
      </c>
      <c r="S60" s="78" t="s">
        <v>42</v>
      </c>
      <c r="T60" s="41"/>
      <c r="U60" s="21"/>
      <c r="V60" s="12">
        <f t="shared" si="5"/>
        <v>2.6620370370372681E-4</v>
      </c>
      <c r="W60" s="22">
        <f t="shared" si="2"/>
        <v>23</v>
      </c>
      <c r="X60" s="22"/>
      <c r="Y60" s="22"/>
    </row>
    <row r="61" spans="1:30" x14ac:dyDescent="0.25">
      <c r="A61" s="67">
        <v>47</v>
      </c>
      <c r="B61" s="48"/>
      <c r="C61" s="49"/>
      <c r="D61" s="49"/>
      <c r="E61" s="67">
        <v>8</v>
      </c>
      <c r="F61" s="67">
        <v>74718</v>
      </c>
      <c r="G61" s="12">
        <f t="shared" si="3"/>
        <v>0.32451388888888888</v>
      </c>
      <c r="H61" s="19" t="str">
        <f t="shared" si="6"/>
        <v/>
      </c>
      <c r="I61" s="19" t="str">
        <f t="shared" si="7"/>
        <v/>
      </c>
      <c r="J61" s="19" t="str">
        <f t="shared" si="8"/>
        <v/>
      </c>
      <c r="K61" s="19" t="str">
        <f t="shared" si="9"/>
        <v/>
      </c>
      <c r="L61" s="19" t="str">
        <f t="shared" si="10"/>
        <v/>
      </c>
      <c r="M61" s="19" t="str">
        <f t="shared" si="11"/>
        <v/>
      </c>
      <c r="N61" s="19" t="str">
        <f t="shared" si="12"/>
        <v/>
      </c>
      <c r="O61" s="19">
        <f t="shared" si="13"/>
        <v>4.3981481481480955E-4</v>
      </c>
      <c r="P61" s="19" t="str">
        <f t="shared" si="14"/>
        <v/>
      </c>
      <c r="Q61" s="12">
        <f t="shared" si="15"/>
        <v>4.3981481481480955E-4</v>
      </c>
      <c r="R61" s="39" t="str">
        <f t="shared" si="16"/>
        <v/>
      </c>
      <c r="S61" s="78"/>
      <c r="T61" s="20"/>
      <c r="U61" s="21"/>
      <c r="V61" s="12" t="str">
        <f t="shared" si="5"/>
        <v/>
      </c>
      <c r="W61" s="22" t="str">
        <f t="shared" si="2"/>
        <v/>
      </c>
      <c r="X61" s="22"/>
      <c r="Y61" s="22"/>
    </row>
    <row r="62" spans="1:30" x14ac:dyDescent="0.25">
      <c r="A62" s="67">
        <v>48</v>
      </c>
      <c r="B62" s="48"/>
      <c r="C62" s="49"/>
      <c r="D62" s="45"/>
      <c r="E62" s="67">
        <v>4</v>
      </c>
      <c r="F62" s="67">
        <v>74733</v>
      </c>
      <c r="G62" s="12">
        <f t="shared" si="3"/>
        <v>0.32468750000000002</v>
      </c>
      <c r="H62" s="19" t="str">
        <f t="shared" si="6"/>
        <v/>
      </c>
      <c r="I62" s="19" t="str">
        <f t="shared" si="7"/>
        <v/>
      </c>
      <c r="J62" s="19" t="str">
        <f t="shared" si="8"/>
        <v/>
      </c>
      <c r="K62" s="19">
        <f t="shared" si="9"/>
        <v>1.7361111111113825E-4</v>
      </c>
      <c r="L62" s="19" t="str">
        <f t="shared" si="10"/>
        <v/>
      </c>
      <c r="M62" s="19" t="str">
        <f t="shared" si="11"/>
        <v/>
      </c>
      <c r="N62" s="19" t="str">
        <f t="shared" si="12"/>
        <v/>
      </c>
      <c r="O62" s="19" t="str">
        <f t="shared" si="13"/>
        <v/>
      </c>
      <c r="P62" s="19" t="str">
        <f t="shared" si="14"/>
        <v/>
      </c>
      <c r="Q62" s="12">
        <f t="shared" si="15"/>
        <v>1.7361111111113825E-4</v>
      </c>
      <c r="R62" s="39" t="str">
        <f t="shared" si="16"/>
        <v/>
      </c>
      <c r="S62" s="78"/>
      <c r="T62" s="20"/>
      <c r="U62" s="21"/>
      <c r="V62" s="12" t="str">
        <f t="shared" si="5"/>
        <v/>
      </c>
      <c r="W62" s="22" t="str">
        <f t="shared" si="2"/>
        <v/>
      </c>
      <c r="X62" s="22"/>
      <c r="Y62" s="22"/>
    </row>
    <row r="63" spans="1:30" x14ac:dyDescent="0.25">
      <c r="A63" s="67">
        <v>49</v>
      </c>
      <c r="B63" s="53"/>
      <c r="C63" s="49"/>
      <c r="D63" s="46"/>
      <c r="E63" s="67">
        <v>8</v>
      </c>
      <c r="F63" s="67">
        <v>74847</v>
      </c>
      <c r="G63" s="12">
        <f t="shared" si="3"/>
        <v>0.3255439814814815</v>
      </c>
      <c r="H63" s="19" t="str">
        <f t="shared" si="6"/>
        <v/>
      </c>
      <c r="I63" s="19" t="str">
        <f t="shared" si="7"/>
        <v/>
      </c>
      <c r="J63" s="19" t="str">
        <f t="shared" si="8"/>
        <v/>
      </c>
      <c r="K63" s="19" t="str">
        <f t="shared" si="9"/>
        <v/>
      </c>
      <c r="L63" s="19" t="str">
        <f t="shared" si="10"/>
        <v/>
      </c>
      <c r="M63" s="19" t="str">
        <f t="shared" si="11"/>
        <v/>
      </c>
      <c r="N63" s="19" t="str">
        <f t="shared" si="12"/>
        <v/>
      </c>
      <c r="O63" s="19">
        <f t="shared" si="13"/>
        <v>8.5648148148148584E-4</v>
      </c>
      <c r="P63" s="19" t="str">
        <f t="shared" si="14"/>
        <v/>
      </c>
      <c r="Q63" s="12">
        <f t="shared" si="15"/>
        <v>8.5648148148148584E-4</v>
      </c>
      <c r="R63" s="39" t="str">
        <f t="shared" si="16"/>
        <v/>
      </c>
      <c r="S63" s="78"/>
      <c r="T63" s="20"/>
      <c r="U63" s="21"/>
      <c r="V63" s="12" t="str">
        <f t="shared" si="5"/>
        <v/>
      </c>
      <c r="W63" s="22" t="str">
        <f t="shared" si="2"/>
        <v/>
      </c>
      <c r="X63" s="22"/>
      <c r="Y63" s="22"/>
    </row>
    <row r="64" spans="1:30" ht="13" x14ac:dyDescent="0.3">
      <c r="A64" s="67">
        <v>50</v>
      </c>
      <c r="B64" s="53">
        <v>10</v>
      </c>
      <c r="C64" s="49"/>
      <c r="D64" s="46">
        <v>5</v>
      </c>
      <c r="E64" s="67">
        <v>7</v>
      </c>
      <c r="F64" s="67">
        <v>74917</v>
      </c>
      <c r="G64" s="12">
        <f t="shared" si="3"/>
        <v>0.32589120370370367</v>
      </c>
      <c r="H64" s="19" t="str">
        <f t="shared" si="6"/>
        <v/>
      </c>
      <c r="I64" s="19" t="str">
        <f t="shared" si="7"/>
        <v/>
      </c>
      <c r="J64" s="19" t="str">
        <f t="shared" si="8"/>
        <v/>
      </c>
      <c r="K64" s="19" t="str">
        <f t="shared" si="9"/>
        <v/>
      </c>
      <c r="L64" s="19" t="str">
        <f t="shared" si="10"/>
        <v/>
      </c>
      <c r="M64" s="19" t="str">
        <f t="shared" si="11"/>
        <v/>
      </c>
      <c r="N64" s="19">
        <f t="shared" si="12"/>
        <v>3.4722222222216548E-4</v>
      </c>
      <c r="O64" s="19" t="str">
        <f t="shared" si="13"/>
        <v/>
      </c>
      <c r="P64" s="19" t="str">
        <f t="shared" si="14"/>
        <v/>
      </c>
      <c r="Q64" s="12">
        <f t="shared" si="15"/>
        <v>3.4722222222216548E-4</v>
      </c>
      <c r="R64" s="39" t="str">
        <f t="shared" si="16"/>
        <v/>
      </c>
      <c r="S64" s="79"/>
      <c r="T64" s="20"/>
      <c r="U64" s="21"/>
      <c r="V64" s="12" t="str">
        <f t="shared" si="5"/>
        <v/>
      </c>
      <c r="W64" s="22" t="str">
        <f t="shared" si="2"/>
        <v/>
      </c>
      <c r="X64" s="22"/>
      <c r="Y64" s="22"/>
    </row>
    <row r="65" spans="1:25" x14ac:dyDescent="0.25">
      <c r="A65" s="67">
        <v>51</v>
      </c>
      <c r="B65" s="53"/>
      <c r="C65" s="49"/>
      <c r="D65" s="46"/>
      <c r="E65" s="67">
        <v>1</v>
      </c>
      <c r="F65" s="67">
        <v>74921</v>
      </c>
      <c r="G65" s="12">
        <f t="shared" si="3"/>
        <v>0.32593749999999999</v>
      </c>
      <c r="H65" s="19">
        <f t="shared" si="6"/>
        <v>4.6296296296322037E-5</v>
      </c>
      <c r="I65" s="19" t="str">
        <f t="shared" si="7"/>
        <v/>
      </c>
      <c r="J65" s="19" t="str">
        <f t="shared" si="8"/>
        <v/>
      </c>
      <c r="K65" s="19" t="str">
        <f t="shared" si="9"/>
        <v/>
      </c>
      <c r="L65" s="19" t="str">
        <f t="shared" si="10"/>
        <v/>
      </c>
      <c r="M65" s="19" t="str">
        <f t="shared" si="11"/>
        <v/>
      </c>
      <c r="N65" s="19" t="str">
        <f t="shared" si="12"/>
        <v/>
      </c>
      <c r="O65" s="19" t="str">
        <f t="shared" si="13"/>
        <v/>
      </c>
      <c r="P65" s="19" t="str">
        <f t="shared" si="14"/>
        <v/>
      </c>
      <c r="Q65" s="12">
        <f t="shared" si="15"/>
        <v>4.6296296296322037E-5</v>
      </c>
      <c r="R65" s="39">
        <f t="shared" si="16"/>
        <v>6.6666666666666666E-2</v>
      </c>
      <c r="S65" s="78"/>
      <c r="T65" s="20"/>
      <c r="U65" s="21"/>
      <c r="V65" s="12">
        <f t="shared" si="5"/>
        <v>4.6296296296322037E-5</v>
      </c>
      <c r="W65" s="22" t="str">
        <f t="shared" si="2"/>
        <v/>
      </c>
      <c r="X65" s="22"/>
      <c r="Y65" s="22"/>
    </row>
    <row r="66" spans="1:25" x14ac:dyDescent="0.25">
      <c r="A66" s="67">
        <v>52</v>
      </c>
      <c r="B66" s="53"/>
      <c r="C66" s="49"/>
      <c r="D66" s="46"/>
      <c r="E66" s="67">
        <v>1</v>
      </c>
      <c r="F66" s="67">
        <v>74942</v>
      </c>
      <c r="G66" s="12">
        <f t="shared" si="3"/>
        <v>0.32618055555555553</v>
      </c>
      <c r="H66" s="19">
        <f t="shared" si="6"/>
        <v>2.4305555555553804E-4</v>
      </c>
      <c r="I66" s="19" t="str">
        <f t="shared" si="7"/>
        <v/>
      </c>
      <c r="J66" s="19" t="str">
        <f t="shared" si="8"/>
        <v/>
      </c>
      <c r="K66" s="19" t="str">
        <f t="shared" si="9"/>
        <v/>
      </c>
      <c r="L66" s="19" t="str">
        <f t="shared" si="10"/>
        <v/>
      </c>
      <c r="M66" s="19" t="str">
        <f t="shared" si="11"/>
        <v/>
      </c>
      <c r="N66" s="19" t="str">
        <f t="shared" si="12"/>
        <v/>
      </c>
      <c r="O66" s="19" t="str">
        <f t="shared" si="13"/>
        <v/>
      </c>
      <c r="P66" s="19" t="str">
        <f t="shared" si="14"/>
        <v/>
      </c>
      <c r="Q66" s="12">
        <f t="shared" si="15"/>
        <v>2.4305555555553804E-4</v>
      </c>
      <c r="R66" s="39">
        <f t="shared" si="16"/>
        <v>0.35</v>
      </c>
      <c r="S66" s="78"/>
      <c r="T66" s="20"/>
      <c r="U66" s="31"/>
      <c r="V66" s="12">
        <f t="shared" si="5"/>
        <v>2.4305555555553804E-4</v>
      </c>
      <c r="W66" s="22">
        <f t="shared" si="2"/>
        <v>21</v>
      </c>
      <c r="X66" s="42"/>
      <c r="Y66" s="42"/>
    </row>
    <row r="67" spans="1:25" x14ac:dyDescent="0.25">
      <c r="A67" s="67">
        <v>53</v>
      </c>
      <c r="B67" s="53"/>
      <c r="C67" s="49"/>
      <c r="D67" s="46"/>
      <c r="E67" s="67">
        <v>1</v>
      </c>
      <c r="F67" s="67">
        <v>75007</v>
      </c>
      <c r="G67" s="12">
        <f t="shared" si="3"/>
        <v>0.32646990740740739</v>
      </c>
      <c r="H67" s="19">
        <f t="shared" si="6"/>
        <v>2.8935185185186008E-4</v>
      </c>
      <c r="I67" s="19" t="str">
        <f t="shared" si="7"/>
        <v/>
      </c>
      <c r="J67" s="19" t="str">
        <f t="shared" si="8"/>
        <v/>
      </c>
      <c r="K67" s="19" t="str">
        <f t="shared" si="9"/>
        <v/>
      </c>
      <c r="L67" s="19" t="str">
        <f t="shared" si="10"/>
        <v/>
      </c>
      <c r="M67" s="19" t="str">
        <f t="shared" si="11"/>
        <v/>
      </c>
      <c r="N67" s="19" t="str">
        <f t="shared" si="12"/>
        <v/>
      </c>
      <c r="O67" s="19" t="str">
        <f t="shared" si="13"/>
        <v/>
      </c>
      <c r="P67" s="19" t="str">
        <f t="shared" si="14"/>
        <v/>
      </c>
      <c r="Q67" s="12">
        <f t="shared" si="15"/>
        <v>2.8935185185186008E-4</v>
      </c>
      <c r="R67" s="39">
        <f t="shared" si="16"/>
        <v>0.41666666666666669</v>
      </c>
      <c r="S67" s="78"/>
      <c r="T67" s="20"/>
      <c r="U67" s="21"/>
      <c r="V67" s="12">
        <f t="shared" si="5"/>
        <v>2.8935185185186008E-4</v>
      </c>
      <c r="W67" s="22">
        <f t="shared" si="2"/>
        <v>25</v>
      </c>
      <c r="X67" s="42"/>
      <c r="Y67" s="42"/>
    </row>
    <row r="68" spans="1:25" x14ac:dyDescent="0.25">
      <c r="A68" s="67">
        <v>54</v>
      </c>
      <c r="B68" s="48"/>
      <c r="C68" s="49"/>
      <c r="D68" s="64"/>
      <c r="E68" s="67">
        <v>1</v>
      </c>
      <c r="F68" s="67">
        <v>75030</v>
      </c>
      <c r="G68" s="12">
        <f t="shared" si="3"/>
        <v>0.32673611111111112</v>
      </c>
      <c r="H68" s="19">
        <f t="shared" si="6"/>
        <v>2.6620370370372681E-4</v>
      </c>
      <c r="I68" s="19" t="str">
        <f t="shared" si="7"/>
        <v/>
      </c>
      <c r="J68" s="19" t="str">
        <f t="shared" si="8"/>
        <v/>
      </c>
      <c r="K68" s="19" t="str">
        <f t="shared" si="9"/>
        <v/>
      </c>
      <c r="L68" s="19" t="str">
        <f t="shared" si="10"/>
        <v/>
      </c>
      <c r="M68" s="19" t="str">
        <f t="shared" si="11"/>
        <v/>
      </c>
      <c r="N68" s="19" t="str">
        <f t="shared" si="12"/>
        <v/>
      </c>
      <c r="O68" s="19" t="str">
        <f t="shared" si="13"/>
        <v/>
      </c>
      <c r="P68" s="19" t="str">
        <f t="shared" si="14"/>
        <v/>
      </c>
      <c r="Q68" s="12">
        <f t="shared" si="15"/>
        <v>2.6620370370372681E-4</v>
      </c>
      <c r="R68" s="39">
        <f t="shared" si="16"/>
        <v>0.38333333333333336</v>
      </c>
      <c r="S68" s="78"/>
      <c r="T68" s="20"/>
      <c r="U68" s="21"/>
      <c r="V68" s="12">
        <f t="shared" si="5"/>
        <v>2.6620370370372681E-4</v>
      </c>
      <c r="W68" s="22">
        <f t="shared" si="2"/>
        <v>23</v>
      </c>
      <c r="X68" s="42"/>
      <c r="Y68" s="42"/>
    </row>
    <row r="69" spans="1:25" x14ac:dyDescent="0.25">
      <c r="A69" s="67">
        <v>55</v>
      </c>
      <c r="B69" s="53"/>
      <c r="C69" s="49"/>
      <c r="D69" s="49"/>
      <c r="E69" s="67">
        <v>1</v>
      </c>
      <c r="F69" s="67">
        <v>75103</v>
      </c>
      <c r="G69" s="12">
        <f t="shared" si="3"/>
        <v>0.32711805555555556</v>
      </c>
      <c r="H69" s="19">
        <f t="shared" si="6"/>
        <v>3.8194444444444864E-4</v>
      </c>
      <c r="I69" s="19" t="str">
        <f t="shared" si="7"/>
        <v/>
      </c>
      <c r="J69" s="19" t="str">
        <f t="shared" si="8"/>
        <v/>
      </c>
      <c r="K69" s="19" t="str">
        <f t="shared" si="9"/>
        <v/>
      </c>
      <c r="L69" s="19" t="str">
        <f t="shared" si="10"/>
        <v/>
      </c>
      <c r="M69" s="19" t="str">
        <f t="shared" si="11"/>
        <v/>
      </c>
      <c r="N69" s="19" t="str">
        <f t="shared" si="12"/>
        <v/>
      </c>
      <c r="O69" s="19" t="str">
        <f t="shared" si="13"/>
        <v/>
      </c>
      <c r="P69" s="19" t="str">
        <f t="shared" si="14"/>
        <v/>
      </c>
      <c r="Q69" s="12">
        <f t="shared" si="15"/>
        <v>3.8194444444444864E-4</v>
      </c>
      <c r="R69" s="39">
        <f t="shared" si="16"/>
        <v>0.55000000000000004</v>
      </c>
      <c r="S69" s="78" t="s">
        <v>45</v>
      </c>
      <c r="T69" s="20"/>
      <c r="U69" s="21"/>
      <c r="V69" s="12">
        <f t="shared" si="5"/>
        <v>3.8194444444444864E-4</v>
      </c>
      <c r="W69" s="22">
        <f t="shared" si="2"/>
        <v>33</v>
      </c>
      <c r="X69" s="42"/>
      <c r="Y69" s="42"/>
    </row>
    <row r="70" spans="1:25" x14ac:dyDescent="0.25">
      <c r="A70" s="67">
        <v>56</v>
      </c>
      <c r="B70" s="48"/>
      <c r="C70" s="49"/>
      <c r="D70" s="49"/>
      <c r="E70" s="67">
        <v>4</v>
      </c>
      <c r="F70" s="67">
        <v>75137</v>
      </c>
      <c r="G70" s="12">
        <f t="shared" si="3"/>
        <v>0.32751157407407411</v>
      </c>
      <c r="H70" s="19" t="str">
        <f t="shared" si="6"/>
        <v/>
      </c>
      <c r="I70" s="19" t="str">
        <f t="shared" si="7"/>
        <v/>
      </c>
      <c r="J70" s="19" t="str">
        <f t="shared" si="8"/>
        <v/>
      </c>
      <c r="K70" s="19">
        <f t="shared" si="9"/>
        <v>3.9351851851854303E-4</v>
      </c>
      <c r="L70" s="19" t="str">
        <f t="shared" si="10"/>
        <v/>
      </c>
      <c r="M70" s="19" t="str">
        <f t="shared" si="11"/>
        <v/>
      </c>
      <c r="N70" s="19" t="str">
        <f t="shared" si="12"/>
        <v/>
      </c>
      <c r="O70" s="19" t="str">
        <f t="shared" si="13"/>
        <v/>
      </c>
      <c r="P70" s="19" t="str">
        <f t="shared" si="14"/>
        <v/>
      </c>
      <c r="Q70" s="12">
        <f t="shared" si="15"/>
        <v>3.9351851851854303E-4</v>
      </c>
      <c r="R70" s="39" t="str">
        <f t="shared" si="16"/>
        <v/>
      </c>
      <c r="S70" s="78"/>
      <c r="T70" s="20"/>
      <c r="U70" s="21"/>
      <c r="V70" s="12" t="str">
        <f t="shared" si="5"/>
        <v/>
      </c>
      <c r="W70" s="22" t="str">
        <f t="shared" si="2"/>
        <v/>
      </c>
      <c r="X70" s="42"/>
      <c r="Y70" s="42"/>
    </row>
    <row r="71" spans="1:25" x14ac:dyDescent="0.25">
      <c r="A71" s="67">
        <v>57</v>
      </c>
      <c r="B71" s="48">
        <v>12</v>
      </c>
      <c r="C71" s="49"/>
      <c r="D71" s="49">
        <v>5</v>
      </c>
      <c r="E71" s="67">
        <v>7</v>
      </c>
      <c r="F71" s="67">
        <v>75215</v>
      </c>
      <c r="G71" s="12">
        <f t="shared" si="3"/>
        <v>0.32795138888888892</v>
      </c>
      <c r="H71" s="19" t="str">
        <f t="shared" si="6"/>
        <v/>
      </c>
      <c r="I71" s="19" t="str">
        <f t="shared" si="7"/>
        <v/>
      </c>
      <c r="J71" s="19" t="str">
        <f t="shared" si="8"/>
        <v/>
      </c>
      <c r="K71" s="19" t="str">
        <f t="shared" si="9"/>
        <v/>
      </c>
      <c r="L71" s="19" t="str">
        <f t="shared" si="10"/>
        <v/>
      </c>
      <c r="M71" s="19" t="str">
        <f t="shared" si="11"/>
        <v/>
      </c>
      <c r="N71" s="19">
        <f t="shared" si="12"/>
        <v>4.3981481481480955E-4</v>
      </c>
      <c r="O71" s="19" t="str">
        <f t="shared" si="13"/>
        <v/>
      </c>
      <c r="P71" s="19" t="str">
        <f t="shared" si="14"/>
        <v/>
      </c>
      <c r="Q71" s="12">
        <f t="shared" si="15"/>
        <v>4.3981481481480955E-4</v>
      </c>
      <c r="R71" s="39" t="str">
        <f t="shared" si="16"/>
        <v/>
      </c>
      <c r="S71" s="78"/>
      <c r="T71" s="20"/>
      <c r="U71" s="21"/>
      <c r="V71" s="12" t="str">
        <f t="shared" si="5"/>
        <v/>
      </c>
      <c r="W71" s="22" t="str">
        <f t="shared" si="2"/>
        <v/>
      </c>
      <c r="X71" s="42"/>
      <c r="Y71" s="42"/>
    </row>
    <row r="72" spans="1:25" x14ac:dyDescent="0.25">
      <c r="A72" s="67">
        <v>58</v>
      </c>
      <c r="B72" s="70"/>
      <c r="C72" s="49"/>
      <c r="D72" s="45"/>
      <c r="E72" s="67">
        <v>1</v>
      </c>
      <c r="F72" s="67">
        <v>75219</v>
      </c>
      <c r="G72" s="12">
        <f t="shared" si="3"/>
        <v>0.32799768518518518</v>
      </c>
      <c r="H72" s="19">
        <f t="shared" si="6"/>
        <v>4.6296296296266526E-5</v>
      </c>
      <c r="I72" s="19" t="str">
        <f t="shared" si="7"/>
        <v/>
      </c>
      <c r="J72" s="19" t="str">
        <f t="shared" si="8"/>
        <v/>
      </c>
      <c r="K72" s="19" t="str">
        <f t="shared" si="9"/>
        <v/>
      </c>
      <c r="L72" s="19" t="str">
        <f t="shared" si="10"/>
        <v/>
      </c>
      <c r="M72" s="19" t="str">
        <f t="shared" si="11"/>
        <v/>
      </c>
      <c r="N72" s="19" t="str">
        <f t="shared" si="12"/>
        <v/>
      </c>
      <c r="O72" s="19" t="str">
        <f t="shared" si="13"/>
        <v/>
      </c>
      <c r="P72" s="19" t="str">
        <f t="shared" si="14"/>
        <v/>
      </c>
      <c r="Q72" s="12">
        <f t="shared" si="15"/>
        <v>4.6296296296266526E-5</v>
      </c>
      <c r="R72" s="39">
        <f t="shared" si="16"/>
        <v>6.6666666666666666E-2</v>
      </c>
      <c r="S72" s="78"/>
      <c r="T72" s="20"/>
      <c r="U72" s="21"/>
      <c r="V72" s="12">
        <f t="shared" si="5"/>
        <v>4.6296296296266526E-5</v>
      </c>
      <c r="W72" s="22" t="str">
        <f t="shared" si="2"/>
        <v/>
      </c>
      <c r="X72" s="42"/>
      <c r="Y72" s="42"/>
    </row>
    <row r="73" spans="1:25" x14ac:dyDescent="0.25">
      <c r="A73" s="67">
        <v>59</v>
      </c>
      <c r="B73" s="48"/>
      <c r="C73" s="49"/>
      <c r="D73" s="46"/>
      <c r="E73" s="67">
        <v>1</v>
      </c>
      <c r="F73" s="67">
        <v>75238</v>
      </c>
      <c r="G73" s="12">
        <f t="shared" si="3"/>
        <v>0.32821759259259259</v>
      </c>
      <c r="H73" s="19">
        <f t="shared" si="6"/>
        <v>2.1990740740740478E-4</v>
      </c>
      <c r="I73" s="19" t="str">
        <f t="shared" si="7"/>
        <v/>
      </c>
      <c r="J73" s="19" t="str">
        <f t="shared" si="8"/>
        <v/>
      </c>
      <c r="K73" s="19" t="str">
        <f t="shared" si="9"/>
        <v/>
      </c>
      <c r="L73" s="19" t="str">
        <f t="shared" si="10"/>
        <v/>
      </c>
      <c r="M73" s="19" t="str">
        <f t="shared" si="11"/>
        <v/>
      </c>
      <c r="N73" s="19" t="str">
        <f t="shared" si="12"/>
        <v/>
      </c>
      <c r="O73" s="19" t="str">
        <f t="shared" si="13"/>
        <v/>
      </c>
      <c r="P73" s="19" t="str">
        <f t="shared" si="14"/>
        <v/>
      </c>
      <c r="Q73" s="12">
        <f t="shared" si="15"/>
        <v>2.1990740740740478E-4</v>
      </c>
      <c r="R73" s="39">
        <f t="shared" si="16"/>
        <v>0.31666666666666665</v>
      </c>
      <c r="S73" s="78"/>
      <c r="T73" s="20"/>
      <c r="U73" s="31"/>
      <c r="V73" s="12">
        <f t="shared" si="5"/>
        <v>2.1990740740740478E-4</v>
      </c>
      <c r="W73" s="22">
        <f t="shared" si="2"/>
        <v>19</v>
      </c>
      <c r="X73" s="42"/>
      <c r="Y73" s="42"/>
    </row>
    <row r="74" spans="1:25" x14ac:dyDescent="0.25">
      <c r="A74" s="67">
        <v>60</v>
      </c>
      <c r="B74" s="48"/>
      <c r="C74" s="49"/>
      <c r="D74" s="46"/>
      <c r="E74" s="67">
        <v>1</v>
      </c>
      <c r="F74" s="67">
        <v>75302</v>
      </c>
      <c r="G74" s="12">
        <f t="shared" si="3"/>
        <v>0.32849537037037035</v>
      </c>
      <c r="H74" s="19">
        <f t="shared" si="6"/>
        <v>2.7777777777776569E-4</v>
      </c>
      <c r="I74" s="19" t="str">
        <f t="shared" si="7"/>
        <v/>
      </c>
      <c r="J74" s="19" t="str">
        <f t="shared" si="8"/>
        <v/>
      </c>
      <c r="K74" s="19" t="str">
        <f t="shared" si="9"/>
        <v/>
      </c>
      <c r="L74" s="19" t="str">
        <f t="shared" si="10"/>
        <v/>
      </c>
      <c r="M74" s="19" t="str">
        <f t="shared" si="11"/>
        <v/>
      </c>
      <c r="N74" s="19" t="str">
        <f t="shared" si="12"/>
        <v/>
      </c>
      <c r="O74" s="19" t="str">
        <f t="shared" si="13"/>
        <v/>
      </c>
      <c r="P74" s="19" t="str">
        <f t="shared" si="14"/>
        <v/>
      </c>
      <c r="Q74" s="12">
        <f t="shared" si="15"/>
        <v>2.7777777777776569E-4</v>
      </c>
      <c r="R74" s="39">
        <f t="shared" si="16"/>
        <v>0.4</v>
      </c>
      <c r="S74" s="78"/>
      <c r="T74" s="20"/>
      <c r="U74" s="21"/>
      <c r="V74" s="12">
        <f t="shared" si="5"/>
        <v>2.7777777777776569E-4</v>
      </c>
      <c r="W74" s="22">
        <f t="shared" si="2"/>
        <v>24</v>
      </c>
      <c r="X74" s="42"/>
      <c r="Y74" s="42"/>
    </row>
    <row r="75" spans="1:25" ht="13" x14ac:dyDescent="0.3">
      <c r="A75" s="67">
        <v>61</v>
      </c>
      <c r="B75" s="48"/>
      <c r="C75" s="49"/>
      <c r="D75" s="46"/>
      <c r="E75" s="67">
        <v>1</v>
      </c>
      <c r="F75" s="67">
        <v>75325</v>
      </c>
      <c r="G75" s="12">
        <f t="shared" si="3"/>
        <v>0.32876157407407408</v>
      </c>
      <c r="H75" s="19">
        <f t="shared" si="6"/>
        <v>2.6620370370372681E-4</v>
      </c>
      <c r="I75" s="19" t="str">
        <f t="shared" si="7"/>
        <v/>
      </c>
      <c r="J75" s="19" t="str">
        <f t="shared" si="8"/>
        <v/>
      </c>
      <c r="K75" s="19" t="str">
        <f t="shared" si="9"/>
        <v/>
      </c>
      <c r="L75" s="19" t="str">
        <f t="shared" si="10"/>
        <v/>
      </c>
      <c r="M75" s="19" t="str">
        <f t="shared" si="11"/>
        <v/>
      </c>
      <c r="N75" s="19" t="str">
        <f t="shared" si="12"/>
        <v/>
      </c>
      <c r="O75" s="19" t="str">
        <f t="shared" si="13"/>
        <v/>
      </c>
      <c r="P75" s="19" t="str">
        <f t="shared" si="14"/>
        <v/>
      </c>
      <c r="Q75" s="12">
        <f t="shared" si="15"/>
        <v>2.6620370370372681E-4</v>
      </c>
      <c r="R75" s="39">
        <f t="shared" si="16"/>
        <v>0.38333333333333336</v>
      </c>
      <c r="S75" s="78"/>
      <c r="T75" s="41"/>
      <c r="U75" s="21"/>
      <c r="V75" s="12">
        <f t="shared" si="5"/>
        <v>2.6620370370372681E-4</v>
      </c>
      <c r="W75" s="22">
        <f t="shared" si="2"/>
        <v>23</v>
      </c>
      <c r="X75" s="42"/>
      <c r="Y75" s="42"/>
    </row>
    <row r="76" spans="1:25" ht="13" x14ac:dyDescent="0.3">
      <c r="A76" s="67">
        <v>62</v>
      </c>
      <c r="B76" s="48"/>
      <c r="C76" s="49"/>
      <c r="D76" s="46"/>
      <c r="E76" s="67">
        <v>1</v>
      </c>
      <c r="F76" s="67">
        <v>75350</v>
      </c>
      <c r="G76" s="12">
        <f t="shared" si="3"/>
        <v>0.32905092592592594</v>
      </c>
      <c r="H76" s="19">
        <f t="shared" si="6"/>
        <v>2.8935185185186008E-4</v>
      </c>
      <c r="I76" s="19" t="str">
        <f t="shared" si="7"/>
        <v/>
      </c>
      <c r="J76" s="19" t="str">
        <f t="shared" si="8"/>
        <v/>
      </c>
      <c r="K76" s="19" t="str">
        <f t="shared" si="9"/>
        <v/>
      </c>
      <c r="L76" s="19" t="str">
        <f t="shared" si="10"/>
        <v/>
      </c>
      <c r="M76" s="19" t="str">
        <f t="shared" si="11"/>
        <v/>
      </c>
      <c r="N76" s="19" t="str">
        <f t="shared" si="12"/>
        <v/>
      </c>
      <c r="O76" s="19" t="str">
        <f t="shared" si="13"/>
        <v/>
      </c>
      <c r="P76" s="19" t="str">
        <f t="shared" si="14"/>
        <v/>
      </c>
      <c r="Q76" s="12">
        <f t="shared" si="15"/>
        <v>2.8935185185186008E-4</v>
      </c>
      <c r="R76" s="39">
        <f t="shared" si="16"/>
        <v>0.41666666666666669</v>
      </c>
      <c r="S76" s="78" t="s">
        <v>46</v>
      </c>
      <c r="T76" s="20"/>
      <c r="U76" s="21"/>
      <c r="V76" s="12">
        <f t="shared" si="5"/>
        <v>2.8935185185186008E-4</v>
      </c>
      <c r="W76" s="22">
        <f t="shared" si="2"/>
        <v>25</v>
      </c>
      <c r="X76" s="77"/>
      <c r="Y76" s="74"/>
    </row>
    <row r="77" spans="1:25" x14ac:dyDescent="0.25">
      <c r="A77" s="67">
        <v>63</v>
      </c>
      <c r="B77" s="48">
        <v>7</v>
      </c>
      <c r="C77" s="49"/>
      <c r="D77" s="46">
        <v>5</v>
      </c>
      <c r="E77" s="67">
        <v>4</v>
      </c>
      <c r="F77" s="67">
        <v>75425</v>
      </c>
      <c r="G77" s="12">
        <f t="shared" si="3"/>
        <v>0.32945601851851852</v>
      </c>
      <c r="H77" s="19" t="str">
        <f t="shared" si="6"/>
        <v/>
      </c>
      <c r="I77" s="19" t="str">
        <f t="shared" si="7"/>
        <v/>
      </c>
      <c r="J77" s="19" t="str">
        <f t="shared" si="8"/>
        <v/>
      </c>
      <c r="K77" s="19">
        <f t="shared" si="9"/>
        <v>4.050925925925819E-4</v>
      </c>
      <c r="L77" s="19" t="str">
        <f t="shared" si="10"/>
        <v/>
      </c>
      <c r="M77" s="19" t="str">
        <f t="shared" si="11"/>
        <v/>
      </c>
      <c r="N77" s="19" t="str">
        <f t="shared" si="12"/>
        <v/>
      </c>
      <c r="O77" s="19" t="str">
        <f t="shared" si="13"/>
        <v/>
      </c>
      <c r="P77" s="19" t="str">
        <f t="shared" si="14"/>
        <v/>
      </c>
      <c r="Q77" s="12">
        <f t="shared" si="15"/>
        <v>4.050925925925819E-4</v>
      </c>
      <c r="R77" s="39" t="str">
        <f t="shared" si="16"/>
        <v/>
      </c>
      <c r="S77" s="78"/>
      <c r="T77" s="20"/>
      <c r="U77" s="21"/>
      <c r="V77" s="12" t="str">
        <f t="shared" si="5"/>
        <v/>
      </c>
      <c r="W77" s="22" t="str">
        <f t="shared" si="2"/>
        <v/>
      </c>
    </row>
    <row r="78" spans="1:25" ht="13" x14ac:dyDescent="0.3">
      <c r="A78" s="67">
        <v>64</v>
      </c>
      <c r="B78" s="48"/>
      <c r="C78" s="49"/>
      <c r="D78" s="46"/>
      <c r="E78" s="67">
        <v>7</v>
      </c>
      <c r="F78" s="67">
        <v>75448</v>
      </c>
      <c r="G78" s="12">
        <f t="shared" si="3"/>
        <v>0.32972222222222219</v>
      </c>
      <c r="H78" s="19" t="str">
        <f t="shared" si="6"/>
        <v/>
      </c>
      <c r="I78" s="19" t="str">
        <f t="shared" si="7"/>
        <v/>
      </c>
      <c r="J78" s="19" t="str">
        <f t="shared" si="8"/>
        <v/>
      </c>
      <c r="K78" s="19" t="str">
        <f t="shared" si="9"/>
        <v/>
      </c>
      <c r="L78" s="19" t="str">
        <f t="shared" si="10"/>
        <v/>
      </c>
      <c r="M78" s="19" t="str">
        <f t="shared" si="11"/>
        <v/>
      </c>
      <c r="N78" s="19">
        <f t="shared" si="12"/>
        <v>2.662037037036713E-4</v>
      </c>
      <c r="O78" s="19" t="str">
        <f t="shared" si="13"/>
        <v/>
      </c>
      <c r="P78" s="19" t="str">
        <f t="shared" si="14"/>
        <v/>
      </c>
      <c r="Q78" s="12">
        <f t="shared" si="15"/>
        <v>2.662037037036713E-4</v>
      </c>
      <c r="R78" s="39" t="str">
        <f t="shared" si="16"/>
        <v/>
      </c>
      <c r="S78" s="79"/>
      <c r="T78" s="26"/>
      <c r="U78" s="21"/>
      <c r="V78" s="12" t="str">
        <f t="shared" si="5"/>
        <v/>
      </c>
      <c r="W78" s="22" t="str">
        <f t="shared" si="2"/>
        <v/>
      </c>
    </row>
    <row r="79" spans="1:25" ht="13" x14ac:dyDescent="0.3">
      <c r="A79" s="67">
        <v>65</v>
      </c>
      <c r="B79" s="48"/>
      <c r="C79" s="49"/>
      <c r="D79" s="64"/>
      <c r="E79" s="67">
        <v>1</v>
      </c>
      <c r="F79" s="67">
        <v>75454</v>
      </c>
      <c r="G79" s="12">
        <f t="shared" si="3"/>
        <v>0.32979166666666665</v>
      </c>
      <c r="H79" s="19">
        <f t="shared" si="6"/>
        <v>6.94444444444553E-5</v>
      </c>
      <c r="I79" s="19" t="str">
        <f t="shared" si="7"/>
        <v/>
      </c>
      <c r="J79" s="19" t="str">
        <f t="shared" si="8"/>
        <v/>
      </c>
      <c r="K79" s="19" t="str">
        <f t="shared" si="9"/>
        <v/>
      </c>
      <c r="L79" s="19" t="str">
        <f t="shared" si="10"/>
        <v/>
      </c>
      <c r="M79" s="19" t="str">
        <f t="shared" si="11"/>
        <v/>
      </c>
      <c r="N79" s="19" t="str">
        <f t="shared" si="12"/>
        <v/>
      </c>
      <c r="O79" s="19" t="str">
        <f t="shared" si="13"/>
        <v/>
      </c>
      <c r="P79" s="19" t="str">
        <f t="shared" si="14"/>
        <v/>
      </c>
      <c r="Q79" s="12">
        <f t="shared" si="15"/>
        <v>6.94444444444553E-5</v>
      </c>
      <c r="R79" s="39">
        <f t="shared" si="16"/>
        <v>0.1</v>
      </c>
      <c r="S79" s="79"/>
      <c r="T79" s="26"/>
      <c r="U79" s="21"/>
      <c r="V79" s="12">
        <f t="shared" si="5"/>
        <v>6.94444444444553E-5</v>
      </c>
      <c r="W79" s="22" t="str">
        <f t="shared" ref="W79:W142" si="17">_xlfn.IFS(V79="","",SECOND(V79)&lt;10,"",  (HOUR(V79)*3600+MINUTE(V79)*60+SECOND(V79))&gt;60,"", (HOUR(V79)*3600+MINUTE(V79)*60+SECOND(V79))&lt;60, HOUR(V79)*3600+MINUTE(V79)*60+SECOND(V79))</f>
        <v/>
      </c>
    </row>
    <row r="80" spans="1:25" x14ac:dyDescent="0.25">
      <c r="A80" s="67">
        <v>66</v>
      </c>
      <c r="B80" s="48"/>
      <c r="C80" s="49"/>
      <c r="D80" s="50"/>
      <c r="E80" s="67">
        <v>1</v>
      </c>
      <c r="F80" s="67">
        <v>75512</v>
      </c>
      <c r="G80" s="12">
        <f t="shared" si="3"/>
        <v>0.33</v>
      </c>
      <c r="H80" s="19">
        <f t="shared" si="6"/>
        <v>2.083333333333659E-4</v>
      </c>
      <c r="I80" s="19" t="str">
        <f t="shared" si="7"/>
        <v/>
      </c>
      <c r="J80" s="19" t="str">
        <f t="shared" si="8"/>
        <v/>
      </c>
      <c r="K80" s="19" t="str">
        <f t="shared" si="9"/>
        <v/>
      </c>
      <c r="L80" s="19" t="str">
        <f t="shared" si="10"/>
        <v/>
      </c>
      <c r="M80" s="19" t="str">
        <f t="shared" si="11"/>
        <v/>
      </c>
      <c r="N80" s="19" t="str">
        <f t="shared" si="12"/>
        <v/>
      </c>
      <c r="O80" s="19" t="str">
        <f t="shared" si="13"/>
        <v/>
      </c>
      <c r="P80" s="19" t="str">
        <f t="shared" si="14"/>
        <v/>
      </c>
      <c r="Q80" s="12">
        <f t="shared" si="15"/>
        <v>2.083333333333659E-4</v>
      </c>
      <c r="R80" s="39">
        <f t="shared" si="16"/>
        <v>0.3</v>
      </c>
      <c r="S80" s="78"/>
      <c r="T80" s="20"/>
      <c r="U80" s="21"/>
      <c r="V80" s="12">
        <f t="shared" si="5"/>
        <v>2.083333333333659E-4</v>
      </c>
      <c r="W80" s="22">
        <f t="shared" si="17"/>
        <v>18</v>
      </c>
    </row>
    <row r="81" spans="1:23" x14ac:dyDescent="0.25">
      <c r="A81" s="67">
        <v>67</v>
      </c>
      <c r="B81" s="67"/>
      <c r="C81" s="50"/>
      <c r="D81" s="49"/>
      <c r="E81" s="67">
        <v>1</v>
      </c>
      <c r="F81" s="67">
        <v>75534</v>
      </c>
      <c r="G81" s="12">
        <f t="shared" ref="G81:G145" si="18">IF(LEN(F81)=5,TIMEVALUE(LEFT(F81,1)&amp;":"&amp;MID(F81,2,2)&amp;":"&amp;RIGHT(F81,2)),IF(LEN(F81)=6,TIMEVALUE(LEFT(F81,2)&amp;":"&amp;MID(F81,3,2)&amp;":"&amp;RIGHT(F81,2)),""))</f>
        <v>0.33025462962962965</v>
      </c>
      <c r="H81" s="19">
        <f t="shared" si="6"/>
        <v>2.5462962962963243E-4</v>
      </c>
      <c r="I81" s="19" t="str">
        <f t="shared" si="7"/>
        <v/>
      </c>
      <c r="J81" s="19" t="str">
        <f t="shared" si="8"/>
        <v/>
      </c>
      <c r="K81" s="19" t="str">
        <f t="shared" si="9"/>
        <v/>
      </c>
      <c r="L81" s="19" t="str">
        <f t="shared" si="10"/>
        <v/>
      </c>
      <c r="M81" s="19" t="str">
        <f t="shared" si="11"/>
        <v/>
      </c>
      <c r="N81" s="19" t="str">
        <f t="shared" si="12"/>
        <v/>
      </c>
      <c r="O81" s="19" t="str">
        <f t="shared" si="13"/>
        <v/>
      </c>
      <c r="P81" s="19" t="str">
        <f t="shared" si="14"/>
        <v/>
      </c>
      <c r="Q81" s="12">
        <f t="shared" si="15"/>
        <v>2.5462962962963243E-4</v>
      </c>
      <c r="R81" s="39">
        <f t="shared" si="16"/>
        <v>0.36666666666666664</v>
      </c>
      <c r="S81" s="78"/>
      <c r="T81" s="20"/>
      <c r="U81" s="21"/>
      <c r="V81" s="12">
        <f t="shared" ref="V81:V144" si="19">H81</f>
        <v>2.5462962962963243E-4</v>
      </c>
      <c r="W81" s="22">
        <f t="shared" si="17"/>
        <v>22</v>
      </c>
    </row>
    <row r="82" spans="1:23" x14ac:dyDescent="0.25">
      <c r="A82" s="67">
        <v>68</v>
      </c>
      <c r="B82" s="49"/>
      <c r="C82" s="49"/>
      <c r="D82" s="49"/>
      <c r="E82" s="67">
        <v>1</v>
      </c>
      <c r="F82" s="67">
        <v>75556</v>
      </c>
      <c r="G82" s="12">
        <f t="shared" si="18"/>
        <v>0.33050925925925928</v>
      </c>
      <c r="H82" s="19">
        <f t="shared" ref="H82:H145" si="20">IFERROR(IF(E82=1,Q82,""),"")</f>
        <v>2.5462962962963243E-4</v>
      </c>
      <c r="I82" s="19" t="str">
        <f t="shared" ref="I82:I145" si="21">IFERROR(IF(E82=2,Q82,""),"")</f>
        <v/>
      </c>
      <c r="J82" s="19" t="str">
        <f t="shared" ref="J82:J145" si="22">IFERROR(IF(E82=3,Q82,""),"")</f>
        <v/>
      </c>
      <c r="K82" s="19" t="str">
        <f t="shared" ref="K82:K145" si="23">IFERROR(IF(E82=4,Q82,""),"")</f>
        <v/>
      </c>
      <c r="L82" s="19" t="str">
        <f t="shared" ref="L82:L145" si="24">IFERROR(IF(E82=5,Q82,""),"")</f>
        <v/>
      </c>
      <c r="M82" s="19" t="str">
        <f t="shared" ref="M82:M145" si="25">IFERROR(IF(E82=6,Q82,""),"")</f>
        <v/>
      </c>
      <c r="N82" s="19" t="str">
        <f t="shared" ref="N82:N145" si="26">IFERROR(IF(E82=7,Q82,""),"")</f>
        <v/>
      </c>
      <c r="O82" s="19" t="str">
        <f t="shared" ref="O82:O145" si="27">IFERROR(IF(E82=8,Q82,""),"")</f>
        <v/>
      </c>
      <c r="P82" s="19" t="str">
        <f t="shared" ref="P82:P145" si="28">IFERROR(IF(E82=9,Q82,""),"")</f>
        <v/>
      </c>
      <c r="Q82" s="12">
        <f t="shared" ref="Q82:Q146" si="29">G82-G81</f>
        <v>2.5462962962963243E-4</v>
      </c>
      <c r="R82" s="39">
        <f t="shared" si="16"/>
        <v>0.36666666666666664</v>
      </c>
      <c r="S82" s="78"/>
      <c r="T82" s="20"/>
      <c r="U82" s="21"/>
      <c r="V82" s="12">
        <f t="shared" si="19"/>
        <v>2.5462962962963243E-4</v>
      </c>
      <c r="W82" s="22">
        <f t="shared" si="17"/>
        <v>22</v>
      </c>
    </row>
    <row r="83" spans="1:23" x14ac:dyDescent="0.25">
      <c r="A83" s="67">
        <v>69</v>
      </c>
      <c r="B83" s="49"/>
      <c r="C83" s="49"/>
      <c r="D83" s="49"/>
      <c r="E83" s="67">
        <v>1</v>
      </c>
      <c r="F83" s="67">
        <v>75622</v>
      </c>
      <c r="G83" s="12">
        <f t="shared" si="18"/>
        <v>0.33081018518518518</v>
      </c>
      <c r="H83" s="19">
        <f t="shared" si="20"/>
        <v>3.0092592592589895E-4</v>
      </c>
      <c r="I83" s="19" t="str">
        <f t="shared" si="21"/>
        <v/>
      </c>
      <c r="J83" s="19" t="str">
        <f t="shared" si="22"/>
        <v/>
      </c>
      <c r="K83" s="19" t="str">
        <f t="shared" si="23"/>
        <v/>
      </c>
      <c r="L83" s="19" t="str">
        <f t="shared" si="24"/>
        <v/>
      </c>
      <c r="M83" s="19" t="str">
        <f t="shared" si="25"/>
        <v/>
      </c>
      <c r="N83" s="19" t="str">
        <f t="shared" si="26"/>
        <v/>
      </c>
      <c r="O83" s="19" t="str">
        <f t="shared" si="27"/>
        <v/>
      </c>
      <c r="P83" s="19" t="str">
        <f t="shared" si="28"/>
        <v/>
      </c>
      <c r="Q83" s="12">
        <f t="shared" si="29"/>
        <v>3.0092592592589895E-4</v>
      </c>
      <c r="R83" s="39">
        <f t="shared" si="16"/>
        <v>0.43333333333333335</v>
      </c>
      <c r="S83" s="78" t="s">
        <v>47</v>
      </c>
      <c r="T83" s="20"/>
      <c r="U83" s="31"/>
      <c r="V83" s="12">
        <f t="shared" si="19"/>
        <v>3.0092592592589895E-4</v>
      </c>
      <c r="W83" s="22">
        <f t="shared" si="17"/>
        <v>26</v>
      </c>
    </row>
    <row r="84" spans="1:23" x14ac:dyDescent="0.25">
      <c r="A84" s="67">
        <v>70</v>
      </c>
      <c r="B84" s="49"/>
      <c r="C84" s="49"/>
      <c r="D84" s="49"/>
      <c r="E84" s="67">
        <v>4</v>
      </c>
      <c r="F84" s="67">
        <v>75703</v>
      </c>
      <c r="G84" s="12">
        <f t="shared" si="18"/>
        <v>0.33128472222222222</v>
      </c>
      <c r="H84" s="19" t="str">
        <f t="shared" si="20"/>
        <v/>
      </c>
      <c r="I84" s="19" t="str">
        <f t="shared" si="21"/>
        <v/>
      </c>
      <c r="J84" s="19" t="str">
        <f t="shared" si="22"/>
        <v/>
      </c>
      <c r="K84" s="19">
        <f t="shared" si="23"/>
        <v>4.745370370370372E-4</v>
      </c>
      <c r="L84" s="19" t="str">
        <f t="shared" si="24"/>
        <v/>
      </c>
      <c r="M84" s="19" t="str">
        <f t="shared" si="25"/>
        <v/>
      </c>
      <c r="N84" s="19" t="str">
        <f t="shared" si="26"/>
        <v/>
      </c>
      <c r="O84" s="19" t="str">
        <f t="shared" si="27"/>
        <v/>
      </c>
      <c r="P84" s="19" t="str">
        <f t="shared" si="28"/>
        <v/>
      </c>
      <c r="Q84" s="12">
        <f t="shared" si="29"/>
        <v>4.745370370370372E-4</v>
      </c>
      <c r="R84" s="39" t="str">
        <f t="shared" ref="R84:R147" si="30">IF(H84="","",HOUR(H84)*60+MINUTE(H84)+SECOND(H84)/60)</f>
        <v/>
      </c>
      <c r="S84" s="78"/>
      <c r="T84" s="20"/>
      <c r="U84" s="21"/>
      <c r="V84" s="12" t="str">
        <f t="shared" si="19"/>
        <v/>
      </c>
      <c r="W84" s="22" t="str">
        <f t="shared" si="17"/>
        <v/>
      </c>
    </row>
    <row r="85" spans="1:23" x14ac:dyDescent="0.25">
      <c r="A85" s="67">
        <v>71</v>
      </c>
      <c r="B85" s="49">
        <v>8</v>
      </c>
      <c r="C85" s="49"/>
      <c r="D85" s="49">
        <v>5</v>
      </c>
      <c r="E85" s="67">
        <v>7</v>
      </c>
      <c r="F85" s="67">
        <v>75726</v>
      </c>
      <c r="G85" s="12">
        <f t="shared" si="18"/>
        <v>0.33155092592592594</v>
      </c>
      <c r="H85" s="19" t="str">
        <f t="shared" si="20"/>
        <v/>
      </c>
      <c r="I85" s="19" t="str">
        <f t="shared" si="21"/>
        <v/>
      </c>
      <c r="J85" s="19" t="str">
        <f t="shared" si="22"/>
        <v/>
      </c>
      <c r="K85" s="19" t="str">
        <f t="shared" si="23"/>
        <v/>
      </c>
      <c r="L85" s="19" t="str">
        <f t="shared" si="24"/>
        <v/>
      </c>
      <c r="M85" s="19" t="str">
        <f t="shared" si="25"/>
        <v/>
      </c>
      <c r="N85" s="19">
        <f t="shared" si="26"/>
        <v>2.6620370370372681E-4</v>
      </c>
      <c r="O85" s="19" t="str">
        <f t="shared" si="27"/>
        <v/>
      </c>
      <c r="P85" s="19" t="str">
        <f t="shared" si="28"/>
        <v/>
      </c>
      <c r="Q85" s="12">
        <f t="shared" si="29"/>
        <v>2.6620370370372681E-4</v>
      </c>
      <c r="R85" s="39" t="str">
        <f t="shared" si="30"/>
        <v/>
      </c>
      <c r="S85" s="78"/>
      <c r="T85" s="20"/>
      <c r="U85" s="21"/>
      <c r="V85" s="12" t="str">
        <f t="shared" si="19"/>
        <v/>
      </c>
      <c r="W85" s="22" t="str">
        <f t="shared" si="17"/>
        <v/>
      </c>
    </row>
    <row r="86" spans="1:23" x14ac:dyDescent="0.25">
      <c r="A86" s="67">
        <v>72</v>
      </c>
      <c r="B86" s="49"/>
      <c r="C86" s="49"/>
      <c r="D86" s="45"/>
      <c r="E86" s="67">
        <v>1</v>
      </c>
      <c r="F86" s="67">
        <v>75731</v>
      </c>
      <c r="G86" s="12">
        <f t="shared" si="18"/>
        <v>0.3316087962962963</v>
      </c>
      <c r="H86" s="19">
        <f t="shared" si="20"/>
        <v>5.7870370370360913E-5</v>
      </c>
      <c r="I86" s="19" t="str">
        <f t="shared" si="21"/>
        <v/>
      </c>
      <c r="J86" s="19" t="str">
        <f t="shared" si="22"/>
        <v/>
      </c>
      <c r="K86" s="19" t="str">
        <f t="shared" si="23"/>
        <v/>
      </c>
      <c r="L86" s="19" t="str">
        <f t="shared" si="24"/>
        <v/>
      </c>
      <c r="M86" s="19" t="str">
        <f t="shared" si="25"/>
        <v/>
      </c>
      <c r="N86" s="19" t="str">
        <f t="shared" si="26"/>
        <v/>
      </c>
      <c r="O86" s="19" t="str">
        <f t="shared" si="27"/>
        <v/>
      </c>
      <c r="P86" s="19" t="str">
        <f t="shared" si="28"/>
        <v/>
      </c>
      <c r="Q86" s="12">
        <f t="shared" si="29"/>
        <v>5.7870370370360913E-5</v>
      </c>
      <c r="R86" s="39">
        <f t="shared" si="30"/>
        <v>8.3333333333333329E-2</v>
      </c>
      <c r="S86" s="78"/>
      <c r="T86" s="20"/>
      <c r="U86" s="21"/>
      <c r="V86" s="12">
        <f t="shared" si="19"/>
        <v>5.7870370370360913E-5</v>
      </c>
      <c r="W86" s="22" t="str">
        <f t="shared" si="17"/>
        <v/>
      </c>
    </row>
    <row r="87" spans="1:23" x14ac:dyDescent="0.25">
      <c r="A87" s="67">
        <v>73</v>
      </c>
      <c r="B87" s="48"/>
      <c r="C87" s="49"/>
      <c r="D87" s="46"/>
      <c r="E87" s="67">
        <v>1</v>
      </c>
      <c r="F87" s="67">
        <v>75752</v>
      </c>
      <c r="G87" s="12">
        <f t="shared" si="18"/>
        <v>0.33185185185185184</v>
      </c>
      <c r="H87" s="19">
        <f t="shared" si="20"/>
        <v>2.4305555555553804E-4</v>
      </c>
      <c r="I87" s="19" t="str">
        <f t="shared" si="21"/>
        <v/>
      </c>
      <c r="J87" s="19" t="str">
        <f t="shared" si="22"/>
        <v/>
      </c>
      <c r="K87" s="19" t="str">
        <f t="shared" si="23"/>
        <v/>
      </c>
      <c r="L87" s="19" t="str">
        <f t="shared" si="24"/>
        <v/>
      </c>
      <c r="M87" s="19" t="str">
        <f t="shared" si="25"/>
        <v/>
      </c>
      <c r="N87" s="19" t="str">
        <f t="shared" si="26"/>
        <v/>
      </c>
      <c r="O87" s="19" t="str">
        <f t="shared" si="27"/>
        <v/>
      </c>
      <c r="P87" s="19" t="str">
        <f t="shared" si="28"/>
        <v/>
      </c>
      <c r="Q87" s="12">
        <f t="shared" si="29"/>
        <v>2.4305555555553804E-4</v>
      </c>
      <c r="R87" s="39">
        <f t="shared" si="30"/>
        <v>0.35</v>
      </c>
      <c r="S87" s="78"/>
      <c r="T87" s="20"/>
      <c r="U87" s="21"/>
      <c r="V87" s="12">
        <f t="shared" si="19"/>
        <v>2.4305555555553804E-4</v>
      </c>
      <c r="W87" s="22">
        <f t="shared" si="17"/>
        <v>21</v>
      </c>
    </row>
    <row r="88" spans="1:23" x14ac:dyDescent="0.25">
      <c r="A88" s="67">
        <v>74</v>
      </c>
      <c r="B88" s="53"/>
      <c r="C88" s="49"/>
      <c r="D88" s="46"/>
      <c r="E88" s="67">
        <v>1</v>
      </c>
      <c r="F88" s="67">
        <v>75814</v>
      </c>
      <c r="G88" s="12">
        <f t="shared" si="18"/>
        <v>0.33210648148148147</v>
      </c>
      <c r="H88" s="19">
        <f t="shared" si="20"/>
        <v>2.5462962962963243E-4</v>
      </c>
      <c r="I88" s="19" t="str">
        <f t="shared" si="21"/>
        <v/>
      </c>
      <c r="J88" s="19" t="str">
        <f t="shared" si="22"/>
        <v/>
      </c>
      <c r="K88" s="19" t="str">
        <f t="shared" si="23"/>
        <v/>
      </c>
      <c r="L88" s="19" t="str">
        <f t="shared" si="24"/>
        <v/>
      </c>
      <c r="M88" s="19" t="str">
        <f t="shared" si="25"/>
        <v/>
      </c>
      <c r="N88" s="19" t="str">
        <f t="shared" si="26"/>
        <v/>
      </c>
      <c r="O88" s="19" t="str">
        <f t="shared" si="27"/>
        <v/>
      </c>
      <c r="P88" s="19" t="str">
        <f t="shared" si="28"/>
        <v/>
      </c>
      <c r="Q88" s="12">
        <f t="shared" si="29"/>
        <v>2.5462962962963243E-4</v>
      </c>
      <c r="R88" s="39">
        <f t="shared" si="30"/>
        <v>0.36666666666666664</v>
      </c>
      <c r="S88" s="78"/>
      <c r="T88" s="20"/>
      <c r="U88" s="21"/>
      <c r="V88" s="12">
        <f t="shared" si="19"/>
        <v>2.5462962962963243E-4</v>
      </c>
      <c r="W88" s="22">
        <f t="shared" si="17"/>
        <v>22</v>
      </c>
    </row>
    <row r="89" spans="1:23" x14ac:dyDescent="0.25">
      <c r="A89" s="67">
        <v>75</v>
      </c>
      <c r="B89" s="53"/>
      <c r="C89" s="49"/>
      <c r="D89" s="46"/>
      <c r="E89" s="67">
        <v>1</v>
      </c>
      <c r="F89" s="67">
        <v>75839</v>
      </c>
      <c r="G89" s="12">
        <f t="shared" si="18"/>
        <v>0.33239583333333333</v>
      </c>
      <c r="H89" s="19">
        <f t="shared" si="20"/>
        <v>2.8935185185186008E-4</v>
      </c>
      <c r="I89" s="19" t="str">
        <f t="shared" si="21"/>
        <v/>
      </c>
      <c r="J89" s="19" t="str">
        <f>IFERROR(IF(E89=3,Q89,""),"")</f>
        <v/>
      </c>
      <c r="K89" s="19" t="str">
        <f t="shared" si="23"/>
        <v/>
      </c>
      <c r="L89" s="19" t="str">
        <f t="shared" si="24"/>
        <v/>
      </c>
      <c r="M89" s="19" t="str">
        <f t="shared" si="25"/>
        <v/>
      </c>
      <c r="N89" s="19" t="str">
        <f t="shared" si="26"/>
        <v/>
      </c>
      <c r="O89" s="19" t="str">
        <f t="shared" si="27"/>
        <v/>
      </c>
      <c r="P89" s="19" t="str">
        <f t="shared" si="28"/>
        <v/>
      </c>
      <c r="Q89" s="12">
        <f>G89-G88</f>
        <v>2.8935185185186008E-4</v>
      </c>
      <c r="R89" s="39">
        <f t="shared" si="30"/>
        <v>0.41666666666666669</v>
      </c>
      <c r="S89" s="78"/>
      <c r="T89" s="20"/>
      <c r="U89" s="21"/>
      <c r="V89" s="12">
        <f t="shared" si="19"/>
        <v>2.8935185185186008E-4</v>
      </c>
      <c r="W89" s="22">
        <f t="shared" si="17"/>
        <v>25</v>
      </c>
    </row>
    <row r="90" spans="1:23" x14ac:dyDescent="0.25">
      <c r="A90" s="67">
        <v>76</v>
      </c>
      <c r="B90" s="53"/>
      <c r="C90" s="49"/>
      <c r="D90" s="46"/>
      <c r="E90" s="67">
        <v>1</v>
      </c>
      <c r="F90" s="67">
        <v>75857</v>
      </c>
      <c r="G90" s="12">
        <f t="shared" si="18"/>
        <v>0.33260416666666665</v>
      </c>
      <c r="H90" s="19">
        <f t="shared" si="20"/>
        <v>2.0833333333331039E-4</v>
      </c>
      <c r="I90" s="19" t="str">
        <f t="shared" si="21"/>
        <v/>
      </c>
      <c r="J90" s="19" t="str">
        <f t="shared" si="22"/>
        <v/>
      </c>
      <c r="K90" s="19" t="str">
        <f t="shared" si="23"/>
        <v/>
      </c>
      <c r="L90" s="19" t="str">
        <f t="shared" si="24"/>
        <v/>
      </c>
      <c r="M90" s="19" t="str">
        <f t="shared" si="25"/>
        <v/>
      </c>
      <c r="N90" s="19" t="str">
        <f t="shared" si="26"/>
        <v/>
      </c>
      <c r="O90" s="19" t="str">
        <f t="shared" si="27"/>
        <v/>
      </c>
      <c r="P90" s="19" t="str">
        <f t="shared" si="28"/>
        <v/>
      </c>
      <c r="Q90" s="12">
        <f>G90-G89</f>
        <v>2.0833333333331039E-4</v>
      </c>
      <c r="R90" s="39">
        <f t="shared" si="30"/>
        <v>0.3</v>
      </c>
      <c r="S90" s="78" t="s">
        <v>48</v>
      </c>
      <c r="T90" s="20"/>
      <c r="U90" s="21"/>
      <c r="V90" s="12">
        <f t="shared" si="19"/>
        <v>2.0833333333331039E-4</v>
      </c>
      <c r="W90" s="22">
        <f t="shared" si="17"/>
        <v>18</v>
      </c>
    </row>
    <row r="91" spans="1:23" x14ac:dyDescent="0.25">
      <c r="A91" s="67">
        <v>77</v>
      </c>
      <c r="B91" s="53"/>
      <c r="C91" s="49"/>
      <c r="D91" s="46"/>
      <c r="E91" s="69">
        <v>4</v>
      </c>
      <c r="F91" s="69">
        <v>75923</v>
      </c>
      <c r="G91" s="12">
        <f t="shared" si="18"/>
        <v>0.3329050925925926</v>
      </c>
      <c r="H91" s="19" t="str">
        <f t="shared" si="20"/>
        <v/>
      </c>
      <c r="I91" s="19" t="str">
        <f t="shared" si="21"/>
        <v/>
      </c>
      <c r="J91" s="19" t="str">
        <f t="shared" si="22"/>
        <v/>
      </c>
      <c r="K91" s="19">
        <f t="shared" si="23"/>
        <v>3.0092592592595446E-4</v>
      </c>
      <c r="L91" s="19" t="str">
        <f t="shared" si="24"/>
        <v/>
      </c>
      <c r="M91" s="19" t="str">
        <f t="shared" si="25"/>
        <v/>
      </c>
      <c r="N91" s="19" t="str">
        <f t="shared" si="26"/>
        <v/>
      </c>
      <c r="O91" s="19" t="str">
        <f t="shared" si="27"/>
        <v/>
      </c>
      <c r="P91" s="19" t="str">
        <f t="shared" si="28"/>
        <v/>
      </c>
      <c r="Q91" s="12">
        <f t="shared" si="29"/>
        <v>3.0092592592595446E-4</v>
      </c>
      <c r="R91" s="39" t="str">
        <f t="shared" si="30"/>
        <v/>
      </c>
      <c r="S91" s="78"/>
      <c r="T91" s="20"/>
      <c r="U91" s="21"/>
      <c r="V91" s="12" t="str">
        <f t="shared" si="19"/>
        <v/>
      </c>
      <c r="W91" s="22" t="str">
        <f t="shared" si="17"/>
        <v/>
      </c>
    </row>
    <row r="92" spans="1:23" x14ac:dyDescent="0.25">
      <c r="A92" s="67">
        <v>78</v>
      </c>
      <c r="B92" s="53">
        <v>9</v>
      </c>
      <c r="C92" s="49"/>
      <c r="D92" s="64">
        <v>5</v>
      </c>
      <c r="E92" s="67">
        <v>7</v>
      </c>
      <c r="F92" s="67">
        <v>75946</v>
      </c>
      <c r="G92" s="12">
        <f t="shared" si="18"/>
        <v>0.33317129629629633</v>
      </c>
      <c r="H92" s="19" t="str">
        <f t="shared" si="20"/>
        <v/>
      </c>
      <c r="I92" s="19" t="str">
        <f t="shared" si="21"/>
        <v/>
      </c>
      <c r="J92" s="19" t="str">
        <f t="shared" si="22"/>
        <v/>
      </c>
      <c r="K92" s="19" t="str">
        <f t="shared" si="23"/>
        <v/>
      </c>
      <c r="L92" s="19" t="str">
        <f t="shared" si="24"/>
        <v/>
      </c>
      <c r="M92" s="19" t="str">
        <f t="shared" si="25"/>
        <v/>
      </c>
      <c r="N92" s="19">
        <f t="shared" si="26"/>
        <v>2.6620370370372681E-4</v>
      </c>
      <c r="O92" s="19" t="str">
        <f t="shared" si="27"/>
        <v/>
      </c>
      <c r="P92" s="19" t="str">
        <f t="shared" si="28"/>
        <v/>
      </c>
      <c r="Q92" s="12">
        <f t="shared" si="29"/>
        <v>2.6620370370372681E-4</v>
      </c>
      <c r="R92" s="39" t="str">
        <f t="shared" si="30"/>
        <v/>
      </c>
      <c r="S92" s="78"/>
      <c r="T92" s="20"/>
      <c r="U92" s="21"/>
      <c r="V92" s="12" t="str">
        <f t="shared" si="19"/>
        <v/>
      </c>
      <c r="W92" s="22" t="str">
        <f t="shared" si="17"/>
        <v/>
      </c>
    </row>
    <row r="93" spans="1:23" x14ac:dyDescent="0.25">
      <c r="A93" s="67">
        <v>79</v>
      </c>
      <c r="B93" s="53"/>
      <c r="C93" s="49"/>
      <c r="D93" s="48"/>
      <c r="E93" s="67">
        <v>1</v>
      </c>
      <c r="F93" s="67">
        <v>75951</v>
      </c>
      <c r="G93" s="12">
        <f t="shared" si="18"/>
        <v>0.33322916666666669</v>
      </c>
      <c r="H93" s="19">
        <f t="shared" si="20"/>
        <v>5.7870370370360913E-5</v>
      </c>
      <c r="I93" s="19" t="str">
        <f t="shared" si="21"/>
        <v/>
      </c>
      <c r="J93" s="19" t="str">
        <f t="shared" si="22"/>
        <v/>
      </c>
      <c r="K93" s="19" t="str">
        <f t="shared" si="23"/>
        <v/>
      </c>
      <c r="L93" s="19" t="str">
        <f t="shared" si="24"/>
        <v/>
      </c>
      <c r="M93" s="19" t="str">
        <f t="shared" si="25"/>
        <v/>
      </c>
      <c r="N93" s="19" t="str">
        <f t="shared" si="26"/>
        <v/>
      </c>
      <c r="O93" s="19" t="str">
        <f t="shared" si="27"/>
        <v/>
      </c>
      <c r="P93" s="19" t="str">
        <f t="shared" si="28"/>
        <v/>
      </c>
      <c r="Q93" s="12">
        <f t="shared" si="29"/>
        <v>5.7870370370360913E-5</v>
      </c>
      <c r="R93" s="39">
        <f t="shared" si="30"/>
        <v>8.3333333333333329E-2</v>
      </c>
      <c r="S93" s="78"/>
      <c r="T93" s="20"/>
      <c r="U93" s="21"/>
      <c r="V93" s="12">
        <f t="shared" si="19"/>
        <v>5.7870370370360913E-5</v>
      </c>
      <c r="W93" s="22" t="str">
        <f t="shared" si="17"/>
        <v/>
      </c>
    </row>
    <row r="94" spans="1:23" x14ac:dyDescent="0.25">
      <c r="A94" s="67">
        <v>80</v>
      </c>
      <c r="B94" s="49"/>
      <c r="C94" s="48"/>
      <c r="D94" s="48"/>
      <c r="E94" s="67">
        <v>1</v>
      </c>
      <c r="F94" s="67">
        <v>80015</v>
      </c>
      <c r="G94" s="12">
        <f t="shared" si="18"/>
        <v>0.33350694444444445</v>
      </c>
      <c r="H94" s="19">
        <f t="shared" si="20"/>
        <v>2.7777777777776569E-4</v>
      </c>
      <c r="I94" s="19" t="str">
        <f t="shared" si="21"/>
        <v/>
      </c>
      <c r="J94" s="19" t="str">
        <f t="shared" si="22"/>
        <v/>
      </c>
      <c r="K94" s="19" t="str">
        <f t="shared" si="23"/>
        <v/>
      </c>
      <c r="L94" s="19" t="str">
        <f t="shared" si="24"/>
        <v/>
      </c>
      <c r="M94" s="19" t="str">
        <f t="shared" si="25"/>
        <v/>
      </c>
      <c r="N94" s="19" t="str">
        <f t="shared" si="26"/>
        <v/>
      </c>
      <c r="O94" s="19" t="str">
        <f t="shared" si="27"/>
        <v/>
      </c>
      <c r="P94" s="19" t="str">
        <f t="shared" si="28"/>
        <v/>
      </c>
      <c r="Q94" s="12">
        <f t="shared" si="29"/>
        <v>2.7777777777776569E-4</v>
      </c>
      <c r="R94" s="39">
        <f t="shared" si="30"/>
        <v>0.4</v>
      </c>
      <c r="S94" s="78"/>
      <c r="T94" s="20"/>
      <c r="U94" s="21"/>
      <c r="V94" s="12">
        <f t="shared" si="19"/>
        <v>2.7777777777776569E-4</v>
      </c>
      <c r="W94" s="22">
        <f t="shared" si="17"/>
        <v>24</v>
      </c>
    </row>
    <row r="95" spans="1:23" x14ac:dyDescent="0.25">
      <c r="A95" s="67">
        <v>81</v>
      </c>
      <c r="B95" s="49"/>
      <c r="C95" s="48"/>
      <c r="D95" s="48"/>
      <c r="E95" s="67">
        <v>1</v>
      </c>
      <c r="F95" s="67">
        <v>80036</v>
      </c>
      <c r="G95" s="12">
        <f t="shared" si="18"/>
        <v>0.33374999999999999</v>
      </c>
      <c r="H95" s="19">
        <f t="shared" si="20"/>
        <v>2.4305555555553804E-4</v>
      </c>
      <c r="I95" s="19" t="str">
        <f t="shared" si="21"/>
        <v/>
      </c>
      <c r="J95" s="19" t="str">
        <f t="shared" si="22"/>
        <v/>
      </c>
      <c r="K95" s="19" t="str">
        <f t="shared" si="23"/>
        <v/>
      </c>
      <c r="L95" s="19" t="str">
        <f t="shared" si="24"/>
        <v/>
      </c>
      <c r="M95" s="19" t="str">
        <f t="shared" si="25"/>
        <v/>
      </c>
      <c r="N95" s="19" t="str">
        <f t="shared" si="26"/>
        <v/>
      </c>
      <c r="O95" s="19" t="str">
        <f t="shared" si="27"/>
        <v/>
      </c>
      <c r="P95" s="19" t="str">
        <f t="shared" si="28"/>
        <v/>
      </c>
      <c r="Q95" s="12">
        <f t="shared" si="29"/>
        <v>2.4305555555553804E-4</v>
      </c>
      <c r="R95" s="39">
        <f t="shared" si="30"/>
        <v>0.35</v>
      </c>
      <c r="S95" s="78"/>
      <c r="T95" s="20"/>
      <c r="U95" s="21"/>
      <c r="V95" s="12">
        <f t="shared" si="19"/>
        <v>2.4305555555553804E-4</v>
      </c>
      <c r="W95" s="22">
        <f t="shared" si="17"/>
        <v>21</v>
      </c>
    </row>
    <row r="96" spans="1:23" x14ac:dyDescent="0.25">
      <c r="A96" s="67">
        <v>82</v>
      </c>
      <c r="B96" s="49"/>
      <c r="C96" s="48"/>
      <c r="D96" s="48"/>
      <c r="E96" s="67">
        <v>1</v>
      </c>
      <c r="F96" s="67">
        <v>80059</v>
      </c>
      <c r="G96" s="12">
        <f t="shared" si="18"/>
        <v>0.33401620370370372</v>
      </c>
      <c r="H96" s="19">
        <f t="shared" si="20"/>
        <v>2.6620370370372681E-4</v>
      </c>
      <c r="I96" s="19" t="str">
        <f t="shared" si="21"/>
        <v/>
      </c>
      <c r="J96" s="19" t="str">
        <f t="shared" si="22"/>
        <v/>
      </c>
      <c r="K96" s="19" t="str">
        <f t="shared" si="23"/>
        <v/>
      </c>
      <c r="L96" s="19" t="str">
        <f t="shared" si="24"/>
        <v/>
      </c>
      <c r="M96" s="19" t="str">
        <f t="shared" si="25"/>
        <v/>
      </c>
      <c r="N96" s="19" t="str">
        <f t="shared" si="26"/>
        <v/>
      </c>
      <c r="O96" s="19" t="str">
        <f t="shared" si="27"/>
        <v/>
      </c>
      <c r="P96" s="19" t="str">
        <f t="shared" si="28"/>
        <v/>
      </c>
      <c r="Q96" s="12">
        <f t="shared" si="29"/>
        <v>2.6620370370372681E-4</v>
      </c>
      <c r="R96" s="39">
        <f t="shared" si="30"/>
        <v>0.38333333333333336</v>
      </c>
      <c r="S96" s="78"/>
      <c r="T96" s="20"/>
      <c r="U96" s="21"/>
      <c r="V96" s="12">
        <f t="shared" si="19"/>
        <v>2.6620370370372681E-4</v>
      </c>
      <c r="W96" s="22">
        <f t="shared" si="17"/>
        <v>23</v>
      </c>
    </row>
    <row r="97" spans="1:25" x14ac:dyDescent="0.25">
      <c r="A97" s="67">
        <v>83</v>
      </c>
      <c r="B97" s="49"/>
      <c r="C97" s="48"/>
      <c r="D97" s="48"/>
      <c r="E97" s="67">
        <v>1</v>
      </c>
      <c r="F97" s="67">
        <v>80120</v>
      </c>
      <c r="G97" s="12">
        <f t="shared" si="18"/>
        <v>0.33425925925925926</v>
      </c>
      <c r="H97" s="19">
        <f t="shared" si="20"/>
        <v>2.4305555555553804E-4</v>
      </c>
      <c r="I97" s="19" t="str">
        <f t="shared" si="21"/>
        <v/>
      </c>
      <c r="J97" s="19" t="str">
        <f t="shared" si="22"/>
        <v/>
      </c>
      <c r="K97" s="19" t="str">
        <f t="shared" si="23"/>
        <v/>
      </c>
      <c r="L97" s="19" t="str">
        <f t="shared" si="24"/>
        <v/>
      </c>
      <c r="M97" s="19" t="str">
        <f t="shared" si="25"/>
        <v/>
      </c>
      <c r="N97" s="19" t="str">
        <f t="shared" si="26"/>
        <v/>
      </c>
      <c r="O97" s="19" t="str">
        <f t="shared" si="27"/>
        <v/>
      </c>
      <c r="P97" s="19" t="str">
        <f t="shared" si="28"/>
        <v/>
      </c>
      <c r="Q97" s="12">
        <f t="shared" si="29"/>
        <v>2.4305555555553804E-4</v>
      </c>
      <c r="R97" s="39">
        <f t="shared" si="30"/>
        <v>0.35</v>
      </c>
      <c r="S97" s="78" t="s">
        <v>47</v>
      </c>
      <c r="T97" s="20"/>
      <c r="U97" s="21"/>
      <c r="V97" s="12">
        <f t="shared" si="19"/>
        <v>2.4305555555553804E-4</v>
      </c>
      <c r="W97" s="22">
        <f t="shared" si="17"/>
        <v>21</v>
      </c>
      <c r="X97" s="22"/>
      <c r="Y97" s="22"/>
    </row>
    <row r="98" spans="1:25" x14ac:dyDescent="0.25">
      <c r="A98" s="67">
        <v>84</v>
      </c>
      <c r="B98" s="49"/>
      <c r="C98" s="48"/>
      <c r="D98" s="71"/>
      <c r="E98" s="67">
        <v>4</v>
      </c>
      <c r="F98" s="67">
        <v>80201</v>
      </c>
      <c r="G98" s="12">
        <f t="shared" si="18"/>
        <v>0.33473379629629635</v>
      </c>
      <c r="H98" s="19" t="str">
        <f t="shared" si="20"/>
        <v/>
      </c>
      <c r="I98" s="19" t="str">
        <f t="shared" si="21"/>
        <v/>
      </c>
      <c r="J98" s="19" t="str">
        <f t="shared" si="22"/>
        <v/>
      </c>
      <c r="K98" s="19">
        <f t="shared" si="23"/>
        <v>4.7453703703709271E-4</v>
      </c>
      <c r="L98" s="19" t="str">
        <f t="shared" si="24"/>
        <v/>
      </c>
      <c r="M98" s="19" t="str">
        <f t="shared" si="25"/>
        <v/>
      </c>
      <c r="N98" s="19" t="str">
        <f t="shared" si="26"/>
        <v/>
      </c>
      <c r="O98" s="19" t="str">
        <f t="shared" si="27"/>
        <v/>
      </c>
      <c r="P98" s="19" t="str">
        <f t="shared" si="28"/>
        <v/>
      </c>
      <c r="Q98" s="12">
        <f t="shared" si="29"/>
        <v>4.7453703703709271E-4</v>
      </c>
      <c r="R98" s="39" t="str">
        <f t="shared" si="30"/>
        <v/>
      </c>
      <c r="S98" s="78"/>
      <c r="T98" s="20"/>
      <c r="U98" s="21"/>
      <c r="V98" s="12" t="str">
        <f t="shared" si="19"/>
        <v/>
      </c>
      <c r="W98" s="22" t="str">
        <f t="shared" si="17"/>
        <v/>
      </c>
      <c r="X98" s="22"/>
      <c r="Y98" s="22"/>
    </row>
    <row r="99" spans="1:25" x14ac:dyDescent="0.25">
      <c r="A99" s="67">
        <v>85</v>
      </c>
      <c r="B99" s="49">
        <v>5</v>
      </c>
      <c r="C99" s="48"/>
      <c r="D99" s="48">
        <v>5</v>
      </c>
      <c r="E99" s="67">
        <v>7</v>
      </c>
      <c r="F99" s="67">
        <v>80304</v>
      </c>
      <c r="G99" s="12">
        <f t="shared" si="18"/>
        <v>0.33546296296296302</v>
      </c>
      <c r="H99" s="19" t="str">
        <f t="shared" si="20"/>
        <v/>
      </c>
      <c r="I99" s="19" t="str">
        <f t="shared" si="21"/>
        <v/>
      </c>
      <c r="J99" s="19" t="str">
        <f t="shared" si="22"/>
        <v/>
      </c>
      <c r="K99" s="19" t="str">
        <f t="shared" si="23"/>
        <v/>
      </c>
      <c r="L99" s="19" t="str">
        <f t="shared" si="24"/>
        <v/>
      </c>
      <c r="M99" s="19" t="str">
        <f t="shared" si="25"/>
        <v/>
      </c>
      <c r="N99" s="19">
        <f t="shared" si="26"/>
        <v>7.2916666666666963E-4</v>
      </c>
      <c r="O99" s="19" t="str">
        <f t="shared" si="27"/>
        <v/>
      </c>
      <c r="P99" s="19" t="str">
        <f t="shared" si="28"/>
        <v/>
      </c>
      <c r="Q99" s="12">
        <f t="shared" si="29"/>
        <v>7.2916666666666963E-4</v>
      </c>
      <c r="R99" s="39" t="str">
        <f t="shared" si="30"/>
        <v/>
      </c>
      <c r="S99" s="78"/>
      <c r="T99" s="20"/>
      <c r="U99" s="21"/>
      <c r="V99" s="12" t="str">
        <f t="shared" si="19"/>
        <v/>
      </c>
      <c r="W99" s="22" t="str">
        <f t="shared" si="17"/>
        <v/>
      </c>
      <c r="X99" s="22"/>
      <c r="Y99" s="22"/>
    </row>
    <row r="100" spans="1:25" x14ac:dyDescent="0.25">
      <c r="A100" s="67">
        <v>86</v>
      </c>
      <c r="B100" s="49"/>
      <c r="C100" s="48"/>
      <c r="D100" s="48"/>
      <c r="E100" s="67">
        <v>1</v>
      </c>
      <c r="F100" s="67">
        <v>80309</v>
      </c>
      <c r="G100" s="12">
        <f t="shared" si="18"/>
        <v>0.33552083333333332</v>
      </c>
      <c r="H100" s="19">
        <f t="shared" si="20"/>
        <v>5.7870370370305402E-5</v>
      </c>
      <c r="I100" s="19" t="str">
        <f t="shared" si="21"/>
        <v/>
      </c>
      <c r="J100" s="19" t="str">
        <f t="shared" si="22"/>
        <v/>
      </c>
      <c r="K100" s="19" t="str">
        <f t="shared" si="23"/>
        <v/>
      </c>
      <c r="L100" s="19" t="str">
        <f t="shared" si="24"/>
        <v/>
      </c>
      <c r="M100" s="19" t="str">
        <f t="shared" si="25"/>
        <v/>
      </c>
      <c r="N100" s="19" t="str">
        <f t="shared" si="26"/>
        <v/>
      </c>
      <c r="O100" s="19" t="str">
        <f t="shared" si="27"/>
        <v/>
      </c>
      <c r="P100" s="19" t="str">
        <f t="shared" si="28"/>
        <v/>
      </c>
      <c r="Q100" s="12">
        <f t="shared" si="29"/>
        <v>5.7870370370305402E-5</v>
      </c>
      <c r="R100" s="39">
        <f t="shared" si="30"/>
        <v>8.3333333333333329E-2</v>
      </c>
      <c r="S100" s="78"/>
      <c r="T100" s="20"/>
      <c r="U100" s="31"/>
      <c r="V100" s="12">
        <f t="shared" si="19"/>
        <v>5.7870370370305402E-5</v>
      </c>
      <c r="W100" s="22" t="str">
        <f t="shared" si="17"/>
        <v/>
      </c>
      <c r="X100" s="22"/>
      <c r="Y100" s="22"/>
    </row>
    <row r="101" spans="1:25" x14ac:dyDescent="0.25">
      <c r="A101" s="67">
        <v>87</v>
      </c>
      <c r="B101" s="49"/>
      <c r="C101" s="48"/>
      <c r="D101" s="48"/>
      <c r="E101" s="67">
        <v>1</v>
      </c>
      <c r="F101" s="67">
        <v>80330</v>
      </c>
      <c r="G101" s="12">
        <f t="shared" si="18"/>
        <v>0.33576388888888892</v>
      </c>
      <c r="H101" s="19">
        <f t="shared" si="20"/>
        <v>2.4305555555559355E-4</v>
      </c>
      <c r="I101" s="19" t="str">
        <f t="shared" si="21"/>
        <v/>
      </c>
      <c r="J101" s="19" t="str">
        <f t="shared" si="22"/>
        <v/>
      </c>
      <c r="K101" s="19" t="str">
        <f t="shared" si="23"/>
        <v/>
      </c>
      <c r="L101" s="19" t="str">
        <f t="shared" si="24"/>
        <v/>
      </c>
      <c r="M101" s="19" t="str">
        <f t="shared" si="25"/>
        <v/>
      </c>
      <c r="N101" s="19" t="str">
        <f t="shared" si="26"/>
        <v/>
      </c>
      <c r="O101" s="19" t="str">
        <f t="shared" si="27"/>
        <v/>
      </c>
      <c r="P101" s="19" t="str">
        <f t="shared" si="28"/>
        <v/>
      </c>
      <c r="Q101" s="12">
        <f t="shared" si="29"/>
        <v>2.4305555555559355E-4</v>
      </c>
      <c r="R101" s="39">
        <f t="shared" si="30"/>
        <v>0.35</v>
      </c>
      <c r="S101" s="78"/>
      <c r="T101" s="20"/>
      <c r="U101" s="21"/>
      <c r="V101" s="12">
        <f t="shared" si="19"/>
        <v>2.4305555555559355E-4</v>
      </c>
      <c r="W101" s="22">
        <f t="shared" si="17"/>
        <v>21</v>
      </c>
      <c r="X101" s="22"/>
      <c r="Y101" s="22"/>
    </row>
    <row r="102" spans="1:25" x14ac:dyDescent="0.25">
      <c r="A102" s="67">
        <v>88</v>
      </c>
      <c r="B102" s="49"/>
      <c r="C102" s="48"/>
      <c r="D102" s="48"/>
      <c r="E102" s="67">
        <v>1</v>
      </c>
      <c r="F102" s="67">
        <v>80352</v>
      </c>
      <c r="G102" s="12">
        <f t="shared" si="18"/>
        <v>0.33601851851851849</v>
      </c>
      <c r="H102" s="19">
        <f t="shared" si="20"/>
        <v>2.5462962962957691E-4</v>
      </c>
      <c r="I102" s="19" t="str">
        <f t="shared" si="21"/>
        <v/>
      </c>
      <c r="J102" s="19" t="str">
        <f t="shared" si="22"/>
        <v/>
      </c>
      <c r="K102" s="19" t="str">
        <f t="shared" si="23"/>
        <v/>
      </c>
      <c r="L102" s="19" t="str">
        <f t="shared" si="24"/>
        <v/>
      </c>
      <c r="M102" s="19" t="str">
        <f t="shared" si="25"/>
        <v/>
      </c>
      <c r="N102" s="19" t="str">
        <f t="shared" si="26"/>
        <v/>
      </c>
      <c r="O102" s="19" t="str">
        <f t="shared" si="27"/>
        <v/>
      </c>
      <c r="P102" s="19" t="str">
        <f t="shared" si="28"/>
        <v/>
      </c>
      <c r="Q102" s="12">
        <f t="shared" si="29"/>
        <v>2.5462962962957691E-4</v>
      </c>
      <c r="R102" s="39">
        <f t="shared" si="30"/>
        <v>0.36666666666666664</v>
      </c>
      <c r="S102" s="78"/>
      <c r="T102" s="20"/>
      <c r="U102" s="21"/>
      <c r="V102" s="12">
        <f t="shared" si="19"/>
        <v>2.5462962962957691E-4</v>
      </c>
      <c r="W102" s="22">
        <f t="shared" si="17"/>
        <v>22</v>
      </c>
      <c r="X102" s="22"/>
      <c r="Y102" s="22"/>
    </row>
    <row r="103" spans="1:25" x14ac:dyDescent="0.25">
      <c r="A103" s="67">
        <v>89</v>
      </c>
      <c r="B103" s="49"/>
      <c r="C103" s="48"/>
      <c r="D103" s="48"/>
      <c r="E103" s="67">
        <v>1</v>
      </c>
      <c r="F103" s="67">
        <v>80414</v>
      </c>
      <c r="G103" s="12">
        <f t="shared" si="18"/>
        <v>0.33627314814814818</v>
      </c>
      <c r="H103" s="19">
        <f t="shared" si="20"/>
        <v>2.5462962962968794E-4</v>
      </c>
      <c r="I103" s="19" t="str">
        <f t="shared" si="21"/>
        <v/>
      </c>
      <c r="J103" s="19" t="str">
        <f t="shared" si="22"/>
        <v/>
      </c>
      <c r="K103" s="19" t="str">
        <f t="shared" si="23"/>
        <v/>
      </c>
      <c r="L103" s="19" t="str">
        <f t="shared" si="24"/>
        <v/>
      </c>
      <c r="M103" s="19" t="str">
        <f t="shared" si="25"/>
        <v/>
      </c>
      <c r="N103" s="19" t="str">
        <f t="shared" si="26"/>
        <v/>
      </c>
      <c r="O103" s="19" t="str">
        <f t="shared" si="27"/>
        <v/>
      </c>
      <c r="P103" s="19" t="str">
        <f t="shared" si="28"/>
        <v/>
      </c>
      <c r="Q103" s="12">
        <f t="shared" si="29"/>
        <v>2.5462962962968794E-4</v>
      </c>
      <c r="R103" s="39">
        <f t="shared" si="30"/>
        <v>0.36666666666666664</v>
      </c>
      <c r="S103" s="78"/>
      <c r="T103" s="20"/>
      <c r="U103" s="21"/>
      <c r="V103" s="12">
        <f t="shared" si="19"/>
        <v>2.5462962962968794E-4</v>
      </c>
      <c r="W103" s="22">
        <f t="shared" si="17"/>
        <v>22</v>
      </c>
      <c r="X103" s="42"/>
      <c r="Y103" s="42"/>
    </row>
    <row r="104" spans="1:25" x14ac:dyDescent="0.25">
      <c r="A104" s="67">
        <v>90</v>
      </c>
      <c r="B104" s="49"/>
      <c r="C104" s="48"/>
      <c r="D104" s="48"/>
      <c r="E104" s="67">
        <v>1</v>
      </c>
      <c r="F104" s="67">
        <v>80437</v>
      </c>
      <c r="G104" s="12">
        <f t="shared" si="18"/>
        <v>0.33653935185185185</v>
      </c>
      <c r="H104" s="19">
        <f t="shared" si="20"/>
        <v>2.662037037036713E-4</v>
      </c>
      <c r="I104" s="19" t="str">
        <f t="shared" si="21"/>
        <v/>
      </c>
      <c r="J104" s="19" t="str">
        <f t="shared" si="22"/>
        <v/>
      </c>
      <c r="K104" s="19" t="str">
        <f t="shared" si="23"/>
        <v/>
      </c>
      <c r="L104" s="19" t="str">
        <f t="shared" si="24"/>
        <v/>
      </c>
      <c r="M104" s="19" t="str">
        <f t="shared" si="25"/>
        <v/>
      </c>
      <c r="N104" s="19" t="str">
        <f t="shared" si="26"/>
        <v/>
      </c>
      <c r="O104" s="19" t="str">
        <f t="shared" si="27"/>
        <v/>
      </c>
      <c r="P104" s="19" t="str">
        <f t="shared" si="28"/>
        <v/>
      </c>
      <c r="Q104" s="12">
        <f t="shared" si="29"/>
        <v>2.662037037036713E-4</v>
      </c>
      <c r="R104" s="39">
        <f t="shared" si="30"/>
        <v>0.38333333333333336</v>
      </c>
      <c r="S104" s="78" t="s">
        <v>49</v>
      </c>
      <c r="T104" s="20"/>
      <c r="U104" s="21"/>
      <c r="V104" s="12">
        <f t="shared" si="19"/>
        <v>2.662037037036713E-4</v>
      </c>
      <c r="W104" s="22">
        <f t="shared" si="17"/>
        <v>23</v>
      </c>
      <c r="X104" s="42"/>
      <c r="Y104" s="42"/>
    </row>
    <row r="105" spans="1:25" ht="13" x14ac:dyDescent="0.3">
      <c r="A105" s="67">
        <v>91</v>
      </c>
      <c r="B105" s="49"/>
      <c r="C105" s="48"/>
      <c r="D105" s="47"/>
      <c r="E105" s="67">
        <v>4</v>
      </c>
      <c r="F105" s="67">
        <v>80514</v>
      </c>
      <c r="G105" s="12">
        <f t="shared" si="18"/>
        <v>0.33696759259259257</v>
      </c>
      <c r="H105" s="19" t="str">
        <f t="shared" si="20"/>
        <v/>
      </c>
      <c r="I105" s="19" t="str">
        <f t="shared" si="21"/>
        <v/>
      </c>
      <c r="J105" s="19" t="str">
        <f t="shared" si="22"/>
        <v/>
      </c>
      <c r="K105" s="19">
        <f t="shared" si="23"/>
        <v>4.2824074074071516E-4</v>
      </c>
      <c r="L105" s="19" t="str">
        <f t="shared" si="24"/>
        <v/>
      </c>
      <c r="M105" s="19" t="str">
        <f t="shared" si="25"/>
        <v/>
      </c>
      <c r="N105" s="19" t="str">
        <f t="shared" si="26"/>
        <v/>
      </c>
      <c r="O105" s="19" t="str">
        <f t="shared" si="27"/>
        <v/>
      </c>
      <c r="P105" s="19" t="str">
        <f t="shared" si="28"/>
        <v/>
      </c>
      <c r="Q105" s="12">
        <f t="shared" si="29"/>
        <v>4.2824074074071516E-4</v>
      </c>
      <c r="R105" s="39" t="str">
        <f t="shared" si="30"/>
        <v/>
      </c>
      <c r="S105" s="78"/>
      <c r="T105" s="20"/>
      <c r="U105" s="21"/>
      <c r="V105" s="12" t="str">
        <f t="shared" si="19"/>
        <v/>
      </c>
      <c r="W105" s="22" t="str">
        <f t="shared" si="17"/>
        <v/>
      </c>
      <c r="X105" s="43"/>
      <c r="Y105" s="43"/>
    </row>
    <row r="106" spans="1:25" x14ac:dyDescent="0.25">
      <c r="A106" s="67">
        <v>92</v>
      </c>
      <c r="B106" s="67"/>
      <c r="C106" s="50"/>
      <c r="D106" s="49"/>
      <c r="E106" s="67">
        <v>6</v>
      </c>
      <c r="F106" s="67">
        <v>80522</v>
      </c>
      <c r="G106" s="12">
        <f t="shared" si="18"/>
        <v>0.33706018518518516</v>
      </c>
      <c r="H106" s="19" t="str">
        <f t="shared" si="20"/>
        <v/>
      </c>
      <c r="I106" s="19" t="str">
        <f t="shared" si="21"/>
        <v/>
      </c>
      <c r="J106" s="19" t="str">
        <f t="shared" si="22"/>
        <v/>
      </c>
      <c r="K106" s="19" t="str">
        <f t="shared" si="23"/>
        <v/>
      </c>
      <c r="L106" s="19" t="str">
        <f t="shared" si="24"/>
        <v/>
      </c>
      <c r="M106" s="19">
        <f t="shared" si="25"/>
        <v>9.2592592592588563E-5</v>
      </c>
      <c r="N106" s="19" t="str">
        <f t="shared" si="26"/>
        <v/>
      </c>
      <c r="O106" s="19" t="str">
        <f t="shared" si="27"/>
        <v/>
      </c>
      <c r="P106" s="19" t="str">
        <f t="shared" si="28"/>
        <v/>
      </c>
      <c r="Q106" s="12">
        <f t="shared" si="29"/>
        <v>9.2592592592588563E-5</v>
      </c>
      <c r="R106" s="39" t="str">
        <f t="shared" si="30"/>
        <v/>
      </c>
      <c r="S106" s="78"/>
      <c r="T106" s="20"/>
      <c r="U106" s="31"/>
      <c r="V106" s="12" t="str">
        <f t="shared" si="19"/>
        <v/>
      </c>
      <c r="W106" s="22" t="str">
        <f t="shared" si="17"/>
        <v/>
      </c>
      <c r="X106" s="42"/>
      <c r="Y106" s="42"/>
    </row>
    <row r="107" spans="1:25" x14ac:dyDescent="0.25">
      <c r="A107" s="67">
        <v>93</v>
      </c>
      <c r="B107" s="49"/>
      <c r="C107" s="49"/>
      <c r="D107" s="49"/>
      <c r="E107" s="67">
        <v>8</v>
      </c>
      <c r="F107" s="67">
        <v>80607</v>
      </c>
      <c r="G107" s="12">
        <f t="shared" si="18"/>
        <v>0.33758101851851857</v>
      </c>
      <c r="H107" s="19" t="str">
        <f t="shared" si="20"/>
        <v/>
      </c>
      <c r="I107" s="19" t="str">
        <f t="shared" si="21"/>
        <v/>
      </c>
      <c r="J107" s="19" t="str">
        <f t="shared" si="22"/>
        <v/>
      </c>
      <c r="K107" s="19" t="str">
        <f t="shared" si="23"/>
        <v/>
      </c>
      <c r="L107" s="19" t="str">
        <f t="shared" si="24"/>
        <v/>
      </c>
      <c r="M107" s="19" t="str">
        <f t="shared" si="25"/>
        <v/>
      </c>
      <c r="N107" s="19" t="str">
        <f t="shared" si="26"/>
        <v/>
      </c>
      <c r="O107" s="19">
        <f t="shared" si="27"/>
        <v>5.2083333333341475E-4</v>
      </c>
      <c r="P107" s="19" t="str">
        <f t="shared" si="28"/>
        <v/>
      </c>
      <c r="Q107" s="12">
        <f t="shared" si="29"/>
        <v>5.2083333333341475E-4</v>
      </c>
      <c r="R107" s="39" t="str">
        <f t="shared" si="30"/>
        <v/>
      </c>
      <c r="S107" s="78"/>
      <c r="T107" s="20"/>
      <c r="U107" s="21"/>
      <c r="V107" s="12" t="str">
        <f t="shared" si="19"/>
        <v/>
      </c>
      <c r="W107" s="22" t="str">
        <f t="shared" si="17"/>
        <v/>
      </c>
      <c r="X107" s="42"/>
      <c r="Y107" s="42"/>
    </row>
    <row r="108" spans="1:25" x14ac:dyDescent="0.25">
      <c r="A108" s="67">
        <v>94</v>
      </c>
      <c r="B108" s="49">
        <v>10</v>
      </c>
      <c r="C108" s="49"/>
      <c r="D108" s="49">
        <v>5</v>
      </c>
      <c r="E108" s="67">
        <v>7</v>
      </c>
      <c r="F108" s="67">
        <v>80635</v>
      </c>
      <c r="G108" s="12">
        <f t="shared" si="18"/>
        <v>0.3379050925925926</v>
      </c>
      <c r="H108" s="19" t="str">
        <f t="shared" si="20"/>
        <v/>
      </c>
      <c r="I108" s="19" t="str">
        <f t="shared" si="21"/>
        <v/>
      </c>
      <c r="J108" s="19" t="str">
        <f t="shared" si="22"/>
        <v/>
      </c>
      <c r="K108" s="19" t="str">
        <f t="shared" si="23"/>
        <v/>
      </c>
      <c r="L108" s="19" t="str">
        <f t="shared" si="24"/>
        <v/>
      </c>
      <c r="M108" s="19" t="str">
        <f t="shared" si="25"/>
        <v/>
      </c>
      <c r="N108" s="19">
        <f t="shared" si="26"/>
        <v>3.2407407407403221E-4</v>
      </c>
      <c r="O108" s="19" t="str">
        <f t="shared" si="27"/>
        <v/>
      </c>
      <c r="P108" s="19" t="str">
        <f t="shared" si="28"/>
        <v/>
      </c>
      <c r="Q108" s="12">
        <f t="shared" si="29"/>
        <v>3.2407407407403221E-4</v>
      </c>
      <c r="R108" s="39" t="str">
        <f t="shared" si="30"/>
        <v/>
      </c>
      <c r="S108" s="78"/>
      <c r="T108" s="20"/>
      <c r="U108" s="21"/>
      <c r="V108" s="12" t="str">
        <f t="shared" si="19"/>
        <v/>
      </c>
      <c r="W108" s="22" t="str">
        <f t="shared" si="17"/>
        <v/>
      </c>
      <c r="X108" s="42"/>
      <c r="Y108" s="42"/>
    </row>
    <row r="109" spans="1:25" x14ac:dyDescent="0.25">
      <c r="A109" s="67">
        <v>95</v>
      </c>
      <c r="B109" s="49"/>
      <c r="C109" s="49"/>
      <c r="D109" s="49"/>
      <c r="E109" s="67">
        <v>1</v>
      </c>
      <c r="F109" s="67">
        <v>80640</v>
      </c>
      <c r="G109" s="12">
        <f t="shared" si="18"/>
        <v>0.33796296296296297</v>
      </c>
      <c r="H109" s="19">
        <f t="shared" si="20"/>
        <v>5.7870370370360913E-5</v>
      </c>
      <c r="I109" s="19" t="str">
        <f t="shared" si="21"/>
        <v/>
      </c>
      <c r="J109" s="19" t="str">
        <f t="shared" si="22"/>
        <v/>
      </c>
      <c r="K109" s="19" t="str">
        <f t="shared" si="23"/>
        <v/>
      </c>
      <c r="L109" s="19" t="str">
        <f t="shared" si="24"/>
        <v/>
      </c>
      <c r="M109" s="19" t="str">
        <f t="shared" si="25"/>
        <v/>
      </c>
      <c r="N109" s="19" t="str">
        <f t="shared" si="26"/>
        <v/>
      </c>
      <c r="O109" s="19" t="str">
        <f t="shared" si="27"/>
        <v/>
      </c>
      <c r="P109" s="19" t="str">
        <f t="shared" si="28"/>
        <v/>
      </c>
      <c r="Q109" s="12">
        <f>G109-G108</f>
        <v>5.7870370370360913E-5</v>
      </c>
      <c r="R109" s="39">
        <f t="shared" si="30"/>
        <v>8.3333333333333329E-2</v>
      </c>
      <c r="S109" s="78"/>
      <c r="T109" s="20"/>
      <c r="U109" s="21"/>
      <c r="V109" s="12">
        <f t="shared" si="19"/>
        <v>5.7870370370360913E-5</v>
      </c>
      <c r="W109" s="22" t="str">
        <f t="shared" si="17"/>
        <v/>
      </c>
      <c r="X109" s="42"/>
      <c r="Y109" s="42"/>
    </row>
    <row r="110" spans="1:25" x14ac:dyDescent="0.25">
      <c r="A110" s="67">
        <v>96</v>
      </c>
      <c r="B110" s="49"/>
      <c r="C110" s="49"/>
      <c r="D110" s="49"/>
      <c r="E110" s="67">
        <v>1</v>
      </c>
      <c r="F110" s="67">
        <v>80659</v>
      </c>
      <c r="G110" s="12">
        <f t="shared" si="18"/>
        <v>0.33818287037037037</v>
      </c>
      <c r="H110" s="19">
        <f t="shared" si="20"/>
        <v>2.1990740740740478E-4</v>
      </c>
      <c r="I110" s="19" t="str">
        <f t="shared" si="21"/>
        <v/>
      </c>
      <c r="J110" s="19" t="str">
        <f t="shared" si="22"/>
        <v/>
      </c>
      <c r="K110" s="19" t="str">
        <f t="shared" si="23"/>
        <v/>
      </c>
      <c r="L110" s="19" t="str">
        <f t="shared" si="24"/>
        <v/>
      </c>
      <c r="M110" s="19" t="str">
        <f t="shared" si="25"/>
        <v/>
      </c>
      <c r="N110" s="19" t="str">
        <f t="shared" si="26"/>
        <v/>
      </c>
      <c r="O110" s="19" t="str">
        <f t="shared" si="27"/>
        <v/>
      </c>
      <c r="P110" s="19" t="str">
        <f t="shared" si="28"/>
        <v/>
      </c>
      <c r="Q110" s="12">
        <f t="shared" si="29"/>
        <v>2.1990740740740478E-4</v>
      </c>
      <c r="R110" s="39">
        <f t="shared" si="30"/>
        <v>0.31666666666666665</v>
      </c>
      <c r="S110" s="78"/>
      <c r="T110" s="20"/>
      <c r="U110" s="21"/>
      <c r="V110" s="12">
        <f t="shared" si="19"/>
        <v>2.1990740740740478E-4</v>
      </c>
      <c r="W110" s="22">
        <f t="shared" si="17"/>
        <v>19</v>
      </c>
      <c r="X110" s="42"/>
      <c r="Y110" s="42"/>
    </row>
    <row r="111" spans="1:25" x14ac:dyDescent="0.25">
      <c r="A111" s="67">
        <v>97</v>
      </c>
      <c r="B111" s="49"/>
      <c r="C111" s="49"/>
      <c r="D111" s="49"/>
      <c r="E111" s="67">
        <v>1</v>
      </c>
      <c r="F111" s="67">
        <v>80719</v>
      </c>
      <c r="G111" s="12">
        <f t="shared" si="18"/>
        <v>0.33841435185185187</v>
      </c>
      <c r="H111" s="19">
        <f t="shared" si="20"/>
        <v>2.3148148148149916E-4</v>
      </c>
      <c r="I111" s="19" t="str">
        <f t="shared" si="21"/>
        <v/>
      </c>
      <c r="J111" s="19" t="str">
        <f t="shared" si="22"/>
        <v/>
      </c>
      <c r="K111" s="19" t="str">
        <f t="shared" si="23"/>
        <v/>
      </c>
      <c r="L111" s="19" t="str">
        <f t="shared" si="24"/>
        <v/>
      </c>
      <c r="M111" s="19" t="str">
        <f t="shared" si="25"/>
        <v/>
      </c>
      <c r="N111" s="19" t="str">
        <f t="shared" si="26"/>
        <v/>
      </c>
      <c r="O111" s="19" t="str">
        <f t="shared" si="27"/>
        <v/>
      </c>
      <c r="P111" s="19" t="str">
        <f t="shared" si="28"/>
        <v/>
      </c>
      <c r="Q111" s="12">
        <f t="shared" si="29"/>
        <v>2.3148148148149916E-4</v>
      </c>
      <c r="R111" s="39">
        <f t="shared" si="30"/>
        <v>0.33333333333333331</v>
      </c>
      <c r="S111" s="78"/>
      <c r="T111" s="20"/>
      <c r="U111" s="21"/>
      <c r="V111" s="12">
        <f t="shared" si="19"/>
        <v>2.3148148148149916E-4</v>
      </c>
      <c r="W111" s="22">
        <f t="shared" si="17"/>
        <v>20</v>
      </c>
      <c r="X111" s="42"/>
      <c r="Y111" s="42"/>
    </row>
    <row r="112" spans="1:25" x14ac:dyDescent="0.25">
      <c r="A112" s="67">
        <v>98</v>
      </c>
      <c r="B112" s="49"/>
      <c r="C112" s="49"/>
      <c r="D112" s="49"/>
      <c r="E112" s="67">
        <v>1</v>
      </c>
      <c r="F112" s="67">
        <v>80744</v>
      </c>
      <c r="G112" s="12">
        <f t="shared" si="18"/>
        <v>0.33870370370370373</v>
      </c>
      <c r="H112" s="19">
        <f t="shared" si="20"/>
        <v>2.8935185185186008E-4</v>
      </c>
      <c r="I112" s="19" t="str">
        <f t="shared" si="21"/>
        <v/>
      </c>
      <c r="J112" s="19" t="str">
        <f t="shared" si="22"/>
        <v/>
      </c>
      <c r="K112" s="19" t="str">
        <f t="shared" si="23"/>
        <v/>
      </c>
      <c r="L112" s="19" t="str">
        <f t="shared" si="24"/>
        <v/>
      </c>
      <c r="M112" s="19" t="str">
        <f t="shared" si="25"/>
        <v/>
      </c>
      <c r="N112" s="19" t="str">
        <f t="shared" si="26"/>
        <v/>
      </c>
      <c r="O112" s="19" t="str">
        <f t="shared" si="27"/>
        <v/>
      </c>
      <c r="P112" s="19" t="str">
        <f t="shared" si="28"/>
        <v/>
      </c>
      <c r="Q112" s="12">
        <f t="shared" si="29"/>
        <v>2.8935185185186008E-4</v>
      </c>
      <c r="R112" s="39">
        <f t="shared" si="30"/>
        <v>0.41666666666666669</v>
      </c>
      <c r="S112" s="78"/>
      <c r="T112" s="20"/>
      <c r="U112" s="21"/>
      <c r="V112" s="12">
        <f t="shared" si="19"/>
        <v>2.8935185185186008E-4</v>
      </c>
      <c r="W112" s="22">
        <f t="shared" si="17"/>
        <v>25</v>
      </c>
      <c r="X112" s="42"/>
      <c r="Y112" s="42"/>
    </row>
    <row r="113" spans="1:25" x14ac:dyDescent="0.25">
      <c r="A113" s="67">
        <v>99</v>
      </c>
      <c r="B113" s="49"/>
      <c r="C113" s="49"/>
      <c r="D113" s="49"/>
      <c r="E113" s="67">
        <v>1</v>
      </c>
      <c r="F113" s="67">
        <v>80808</v>
      </c>
      <c r="G113" s="12">
        <f t="shared" si="18"/>
        <v>0.33898148148148149</v>
      </c>
      <c r="H113" s="19">
        <f t="shared" si="20"/>
        <v>2.7777777777776569E-4</v>
      </c>
      <c r="I113" s="19" t="str">
        <f t="shared" si="21"/>
        <v/>
      </c>
      <c r="J113" s="19" t="str">
        <f t="shared" si="22"/>
        <v/>
      </c>
      <c r="K113" s="19" t="str">
        <f t="shared" si="23"/>
        <v/>
      </c>
      <c r="L113" s="19" t="str">
        <f t="shared" si="24"/>
        <v/>
      </c>
      <c r="M113" s="19" t="str">
        <f t="shared" si="25"/>
        <v/>
      </c>
      <c r="N113" s="19" t="str">
        <f t="shared" si="26"/>
        <v/>
      </c>
      <c r="O113" s="19" t="str">
        <f t="shared" si="27"/>
        <v/>
      </c>
      <c r="P113" s="19" t="str">
        <f t="shared" si="28"/>
        <v/>
      </c>
      <c r="Q113" s="12">
        <f t="shared" si="29"/>
        <v>2.7777777777776569E-4</v>
      </c>
      <c r="R113" s="39">
        <f t="shared" si="30"/>
        <v>0.4</v>
      </c>
      <c r="S113" s="78" t="s">
        <v>49</v>
      </c>
      <c r="T113" s="20"/>
      <c r="U113" s="21"/>
      <c r="V113" s="12">
        <f t="shared" si="19"/>
        <v>2.7777777777776569E-4</v>
      </c>
      <c r="W113" s="22">
        <f t="shared" si="17"/>
        <v>24</v>
      </c>
      <c r="X113" s="42"/>
      <c r="Y113" s="42"/>
    </row>
    <row r="114" spans="1:25" x14ac:dyDescent="0.25">
      <c r="A114" s="67">
        <v>100</v>
      </c>
      <c r="B114" s="49"/>
      <c r="C114" s="49"/>
      <c r="D114" s="49"/>
      <c r="E114" s="67">
        <v>4</v>
      </c>
      <c r="F114" s="67">
        <v>80831</v>
      </c>
      <c r="G114" s="12">
        <f t="shared" si="18"/>
        <v>0.33924768518518517</v>
      </c>
      <c r="H114" s="19" t="str">
        <f t="shared" si="20"/>
        <v/>
      </c>
      <c r="I114" s="19" t="str">
        <f t="shared" si="21"/>
        <v/>
      </c>
      <c r="J114" s="19" t="str">
        <f t="shared" si="22"/>
        <v/>
      </c>
      <c r="K114" s="19">
        <f t="shared" si="23"/>
        <v>2.662037037036713E-4</v>
      </c>
      <c r="L114" s="19" t="str">
        <f t="shared" si="24"/>
        <v/>
      </c>
      <c r="M114" s="19" t="str">
        <f t="shared" si="25"/>
        <v/>
      </c>
      <c r="N114" s="19" t="str">
        <f t="shared" si="26"/>
        <v/>
      </c>
      <c r="O114" s="19" t="str">
        <f t="shared" si="27"/>
        <v/>
      </c>
      <c r="P114" s="19" t="str">
        <f t="shared" si="28"/>
        <v/>
      </c>
      <c r="Q114" s="12">
        <f t="shared" si="29"/>
        <v>2.662037037036713E-4</v>
      </c>
      <c r="R114" s="39" t="str">
        <f t="shared" si="30"/>
        <v/>
      </c>
      <c r="S114" s="78"/>
      <c r="T114" s="20"/>
      <c r="U114" s="21"/>
      <c r="V114" s="12" t="str">
        <f t="shared" si="19"/>
        <v/>
      </c>
      <c r="W114" s="22" t="str">
        <f t="shared" si="17"/>
        <v/>
      </c>
      <c r="X114" s="42"/>
      <c r="Y114" s="42"/>
    </row>
    <row r="115" spans="1:25" x14ac:dyDescent="0.25">
      <c r="A115" s="67">
        <v>101</v>
      </c>
      <c r="B115" s="49">
        <v>12</v>
      </c>
      <c r="C115" s="49"/>
      <c r="D115" s="49">
        <v>5</v>
      </c>
      <c r="E115" s="67">
        <v>7</v>
      </c>
      <c r="F115" s="67">
        <v>80922</v>
      </c>
      <c r="G115" s="12">
        <f t="shared" si="18"/>
        <v>0.33983796296296293</v>
      </c>
      <c r="H115" s="19" t="str">
        <f t="shared" si="20"/>
        <v/>
      </c>
      <c r="I115" s="19" t="str">
        <f t="shared" si="21"/>
        <v/>
      </c>
      <c r="J115" s="19" t="str">
        <f t="shared" si="22"/>
        <v/>
      </c>
      <c r="K115" s="19" t="str">
        <f t="shared" si="23"/>
        <v/>
      </c>
      <c r="L115" s="19" t="str">
        <f t="shared" si="24"/>
        <v/>
      </c>
      <c r="M115" s="19" t="str">
        <f t="shared" si="25"/>
        <v/>
      </c>
      <c r="N115" s="19">
        <f t="shared" si="26"/>
        <v>5.9027777777775903E-4</v>
      </c>
      <c r="O115" s="19" t="str">
        <f t="shared" si="27"/>
        <v/>
      </c>
      <c r="P115" s="19" t="str">
        <f t="shared" si="28"/>
        <v/>
      </c>
      <c r="Q115" s="12">
        <f t="shared" si="29"/>
        <v>5.9027777777775903E-4</v>
      </c>
      <c r="R115" s="39" t="str">
        <f t="shared" si="30"/>
        <v/>
      </c>
      <c r="S115" s="78"/>
      <c r="T115" s="20"/>
      <c r="U115" s="21"/>
      <c r="V115" s="12" t="str">
        <f t="shared" si="19"/>
        <v/>
      </c>
      <c r="W115" s="22" t="str">
        <f t="shared" si="17"/>
        <v/>
      </c>
      <c r="X115" s="42"/>
      <c r="Y115" s="42"/>
    </row>
    <row r="116" spans="1:25" x14ac:dyDescent="0.25">
      <c r="A116" s="67">
        <v>102</v>
      </c>
      <c r="B116" s="49"/>
      <c r="C116" s="49"/>
      <c r="D116" s="49"/>
      <c r="E116" s="67">
        <v>1</v>
      </c>
      <c r="F116" s="67">
        <v>80926</v>
      </c>
      <c r="G116" s="12">
        <f t="shared" si="18"/>
        <v>0.33988425925925925</v>
      </c>
      <c r="H116" s="19">
        <f t="shared" si="20"/>
        <v>4.6296296296322037E-5</v>
      </c>
      <c r="I116" s="19" t="str">
        <f t="shared" si="21"/>
        <v/>
      </c>
      <c r="J116" s="19" t="str">
        <f t="shared" si="22"/>
        <v/>
      </c>
      <c r="K116" s="19" t="str">
        <f t="shared" si="23"/>
        <v/>
      </c>
      <c r="L116" s="19" t="str">
        <f t="shared" si="24"/>
        <v/>
      </c>
      <c r="M116" s="19" t="str">
        <f t="shared" si="25"/>
        <v/>
      </c>
      <c r="N116" s="19" t="str">
        <f t="shared" si="26"/>
        <v/>
      </c>
      <c r="O116" s="19" t="str">
        <f t="shared" si="27"/>
        <v/>
      </c>
      <c r="P116" s="19" t="str">
        <f t="shared" si="28"/>
        <v/>
      </c>
      <c r="Q116" s="12">
        <f t="shared" si="29"/>
        <v>4.6296296296322037E-5</v>
      </c>
      <c r="R116" s="39">
        <f t="shared" si="30"/>
        <v>6.6666666666666666E-2</v>
      </c>
      <c r="S116" s="78"/>
      <c r="T116" s="20"/>
      <c r="U116" s="31"/>
      <c r="V116" s="12">
        <f t="shared" si="19"/>
        <v>4.6296296296322037E-5</v>
      </c>
      <c r="W116" s="22" t="str">
        <f t="shared" si="17"/>
        <v/>
      </c>
      <c r="X116" s="42"/>
      <c r="Y116" s="42"/>
    </row>
    <row r="117" spans="1:25" x14ac:dyDescent="0.25">
      <c r="A117" s="67">
        <v>103</v>
      </c>
      <c r="B117" s="49"/>
      <c r="C117" s="49"/>
      <c r="D117" s="50"/>
      <c r="E117" s="67">
        <v>1</v>
      </c>
      <c r="F117" s="67">
        <v>80949</v>
      </c>
      <c r="G117" s="12">
        <f t="shared" si="18"/>
        <v>0.34015046296296297</v>
      </c>
      <c r="H117" s="19">
        <f t="shared" si="20"/>
        <v>2.6620370370372681E-4</v>
      </c>
      <c r="I117" s="19" t="str">
        <f t="shared" si="21"/>
        <v/>
      </c>
      <c r="J117" s="19" t="str">
        <f t="shared" si="22"/>
        <v/>
      </c>
      <c r="K117" s="19" t="str">
        <f t="shared" si="23"/>
        <v/>
      </c>
      <c r="L117" s="19" t="str">
        <f t="shared" si="24"/>
        <v/>
      </c>
      <c r="M117" s="19" t="str">
        <f t="shared" si="25"/>
        <v/>
      </c>
      <c r="N117" s="19" t="str">
        <f t="shared" si="26"/>
        <v/>
      </c>
      <c r="O117" s="19" t="str">
        <f t="shared" si="27"/>
        <v/>
      </c>
      <c r="P117" s="19" t="str">
        <f t="shared" si="28"/>
        <v/>
      </c>
      <c r="Q117" s="12">
        <f t="shared" si="29"/>
        <v>2.6620370370372681E-4</v>
      </c>
      <c r="R117" s="39">
        <f t="shared" si="30"/>
        <v>0.38333333333333336</v>
      </c>
      <c r="S117" s="78"/>
      <c r="T117" s="20"/>
      <c r="U117" s="21"/>
      <c r="V117" s="12">
        <f t="shared" si="19"/>
        <v>2.6620370370372681E-4</v>
      </c>
      <c r="W117" s="22">
        <f t="shared" si="17"/>
        <v>23</v>
      </c>
      <c r="X117" s="42"/>
      <c r="Y117" s="42"/>
    </row>
    <row r="118" spans="1:25" x14ac:dyDescent="0.25">
      <c r="A118" s="67">
        <v>104</v>
      </c>
      <c r="B118" s="67"/>
      <c r="C118" s="50"/>
      <c r="D118" s="50"/>
      <c r="E118" s="67">
        <v>1</v>
      </c>
      <c r="F118" s="67">
        <v>81012</v>
      </c>
      <c r="G118" s="12">
        <f t="shared" si="18"/>
        <v>0.34041666666666665</v>
      </c>
      <c r="H118" s="19">
        <f t="shared" si="20"/>
        <v>2.662037037036713E-4</v>
      </c>
      <c r="I118" s="19" t="str">
        <f t="shared" si="21"/>
        <v/>
      </c>
      <c r="J118" s="19" t="str">
        <f t="shared" si="22"/>
        <v/>
      </c>
      <c r="K118" s="19" t="str">
        <f t="shared" si="23"/>
        <v/>
      </c>
      <c r="L118" s="19" t="str">
        <f t="shared" si="24"/>
        <v/>
      </c>
      <c r="M118" s="19" t="str">
        <f t="shared" si="25"/>
        <v/>
      </c>
      <c r="N118" s="19" t="str">
        <f t="shared" si="26"/>
        <v/>
      </c>
      <c r="O118" s="19" t="str">
        <f t="shared" si="27"/>
        <v/>
      </c>
      <c r="P118" s="19" t="str">
        <f t="shared" si="28"/>
        <v/>
      </c>
      <c r="Q118" s="12">
        <f t="shared" si="29"/>
        <v>2.662037037036713E-4</v>
      </c>
      <c r="R118" s="39">
        <f t="shared" si="30"/>
        <v>0.38333333333333336</v>
      </c>
      <c r="S118" s="78"/>
      <c r="T118" s="20"/>
      <c r="U118" s="21"/>
      <c r="V118" s="12">
        <f t="shared" si="19"/>
        <v>2.662037037036713E-4</v>
      </c>
      <c r="W118" s="22">
        <f t="shared" si="17"/>
        <v>23</v>
      </c>
      <c r="X118" s="42"/>
      <c r="Y118" s="42"/>
    </row>
    <row r="119" spans="1:25" x14ac:dyDescent="0.25">
      <c r="A119" s="67">
        <v>105</v>
      </c>
      <c r="B119" s="67"/>
      <c r="C119" s="50"/>
      <c r="D119" s="49"/>
      <c r="E119" s="67">
        <v>1</v>
      </c>
      <c r="F119" s="67">
        <v>81034</v>
      </c>
      <c r="G119" s="12">
        <f t="shared" si="18"/>
        <v>0.34067129629629633</v>
      </c>
      <c r="H119" s="19">
        <f t="shared" si="20"/>
        <v>2.5462962962968794E-4</v>
      </c>
      <c r="I119" s="19" t="str">
        <f t="shared" si="21"/>
        <v/>
      </c>
      <c r="J119" s="19" t="str">
        <f t="shared" si="22"/>
        <v/>
      </c>
      <c r="K119" s="19" t="str">
        <f t="shared" si="23"/>
        <v/>
      </c>
      <c r="L119" s="19" t="str">
        <f t="shared" si="24"/>
        <v/>
      </c>
      <c r="M119" s="19" t="str">
        <f t="shared" si="25"/>
        <v/>
      </c>
      <c r="N119" s="19" t="str">
        <f t="shared" si="26"/>
        <v/>
      </c>
      <c r="O119" s="19" t="str">
        <f t="shared" si="27"/>
        <v/>
      </c>
      <c r="P119" s="19" t="str">
        <f t="shared" si="28"/>
        <v/>
      </c>
      <c r="Q119" s="12">
        <f t="shared" si="29"/>
        <v>2.5462962962968794E-4</v>
      </c>
      <c r="R119" s="39">
        <f t="shared" si="30"/>
        <v>0.36666666666666664</v>
      </c>
      <c r="S119" s="78"/>
      <c r="T119" s="20"/>
      <c r="U119" s="21"/>
      <c r="V119" s="12">
        <f t="shared" si="19"/>
        <v>2.5462962962968794E-4</v>
      </c>
      <c r="W119" s="22">
        <f t="shared" si="17"/>
        <v>22</v>
      </c>
      <c r="X119" s="42"/>
      <c r="Y119" s="42"/>
    </row>
    <row r="120" spans="1:25" x14ac:dyDescent="0.25">
      <c r="A120" s="67">
        <v>106</v>
      </c>
      <c r="B120" s="49"/>
      <c r="C120" s="49"/>
      <c r="D120" s="49"/>
      <c r="E120" s="67">
        <v>1</v>
      </c>
      <c r="F120" s="67">
        <v>81057</v>
      </c>
      <c r="G120" s="12">
        <f t="shared" si="18"/>
        <v>0.34093749999999995</v>
      </c>
      <c r="H120" s="19">
        <f t="shared" si="20"/>
        <v>2.6620370370361579E-4</v>
      </c>
      <c r="I120" s="19" t="str">
        <f t="shared" si="21"/>
        <v/>
      </c>
      <c r="J120" s="19" t="str">
        <f t="shared" si="22"/>
        <v/>
      </c>
      <c r="K120" s="19" t="str">
        <f t="shared" si="23"/>
        <v/>
      </c>
      <c r="L120" s="19" t="str">
        <f t="shared" si="24"/>
        <v/>
      </c>
      <c r="M120" s="19" t="str">
        <f t="shared" si="25"/>
        <v/>
      </c>
      <c r="N120" s="19" t="str">
        <f t="shared" si="26"/>
        <v/>
      </c>
      <c r="O120" s="19" t="str">
        <f t="shared" si="27"/>
        <v/>
      </c>
      <c r="P120" s="19" t="str">
        <f t="shared" si="28"/>
        <v/>
      </c>
      <c r="Q120" s="12">
        <f t="shared" si="29"/>
        <v>2.6620370370361579E-4</v>
      </c>
      <c r="R120" s="39">
        <f t="shared" si="30"/>
        <v>0.38333333333333336</v>
      </c>
      <c r="S120" s="78" t="s">
        <v>46</v>
      </c>
      <c r="T120" s="20"/>
      <c r="U120" s="21"/>
      <c r="V120" s="12">
        <f t="shared" si="19"/>
        <v>2.6620370370361579E-4</v>
      </c>
      <c r="W120" s="22">
        <f t="shared" si="17"/>
        <v>23</v>
      </c>
      <c r="X120" s="42"/>
      <c r="Y120" s="42"/>
    </row>
    <row r="121" spans="1:25" x14ac:dyDescent="0.25">
      <c r="A121" s="67">
        <v>107</v>
      </c>
      <c r="B121" s="49"/>
      <c r="C121" s="49"/>
      <c r="D121" s="49"/>
      <c r="E121" s="67">
        <v>4</v>
      </c>
      <c r="F121" s="67">
        <v>81122</v>
      </c>
      <c r="G121" s="12">
        <f t="shared" si="18"/>
        <v>0.34122685185185181</v>
      </c>
      <c r="H121" s="19" t="str">
        <f t="shared" si="20"/>
        <v/>
      </c>
      <c r="I121" s="19" t="str">
        <f t="shared" si="21"/>
        <v/>
      </c>
      <c r="J121" s="19" t="str">
        <f t="shared" si="22"/>
        <v/>
      </c>
      <c r="K121" s="19">
        <f t="shared" si="23"/>
        <v>2.8935185185186008E-4</v>
      </c>
      <c r="L121" s="19" t="str">
        <f t="shared" si="24"/>
        <v/>
      </c>
      <c r="M121" s="19" t="str">
        <f t="shared" si="25"/>
        <v/>
      </c>
      <c r="N121" s="19" t="str">
        <f t="shared" si="26"/>
        <v/>
      </c>
      <c r="O121" s="19" t="str">
        <f t="shared" si="27"/>
        <v/>
      </c>
      <c r="P121" s="19" t="str">
        <f t="shared" si="28"/>
        <v/>
      </c>
      <c r="Q121" s="12">
        <f t="shared" si="29"/>
        <v>2.8935185185186008E-4</v>
      </c>
      <c r="R121" s="39" t="str">
        <f t="shared" si="30"/>
        <v/>
      </c>
      <c r="S121" s="78"/>
      <c r="T121" s="20"/>
      <c r="U121" s="21"/>
      <c r="V121" s="12" t="str">
        <f t="shared" si="19"/>
        <v/>
      </c>
      <c r="W121" s="22" t="str">
        <f t="shared" si="17"/>
        <v/>
      </c>
      <c r="X121" s="42"/>
      <c r="Y121" s="42"/>
    </row>
    <row r="122" spans="1:25" x14ac:dyDescent="0.25">
      <c r="A122" s="67">
        <v>108</v>
      </c>
      <c r="B122" s="49"/>
      <c r="C122" s="49"/>
      <c r="D122" s="49"/>
      <c r="E122" s="67">
        <v>8</v>
      </c>
      <c r="F122" s="67">
        <v>81322</v>
      </c>
      <c r="G122" s="12">
        <f t="shared" si="18"/>
        <v>0.34261574074074069</v>
      </c>
      <c r="H122" s="19" t="str">
        <f t="shared" si="20"/>
        <v/>
      </c>
      <c r="I122" s="19" t="str">
        <f t="shared" si="21"/>
        <v/>
      </c>
      <c r="J122" s="19" t="str">
        <f t="shared" si="22"/>
        <v/>
      </c>
      <c r="K122" s="19" t="str">
        <f t="shared" si="23"/>
        <v/>
      </c>
      <c r="L122" s="19" t="str">
        <f t="shared" si="24"/>
        <v/>
      </c>
      <c r="M122" s="19" t="str">
        <f t="shared" si="25"/>
        <v/>
      </c>
      <c r="N122" s="19" t="str">
        <f t="shared" si="26"/>
        <v/>
      </c>
      <c r="O122" s="19">
        <f t="shared" si="27"/>
        <v>1.388888888888884E-3</v>
      </c>
      <c r="P122" s="19" t="str">
        <f t="shared" si="28"/>
        <v/>
      </c>
      <c r="Q122" s="12">
        <f t="shared" si="29"/>
        <v>1.388888888888884E-3</v>
      </c>
      <c r="R122" s="39" t="str">
        <f t="shared" si="30"/>
        <v/>
      </c>
      <c r="S122" s="78"/>
      <c r="T122" s="20"/>
      <c r="U122" s="21"/>
      <c r="V122" s="12" t="str">
        <f t="shared" si="19"/>
        <v/>
      </c>
      <c r="W122" s="22" t="str">
        <f t="shared" si="17"/>
        <v/>
      </c>
    </row>
    <row r="123" spans="1:25" ht="13" x14ac:dyDescent="0.3">
      <c r="A123" s="67">
        <v>109</v>
      </c>
      <c r="B123" s="49">
        <v>7</v>
      </c>
      <c r="C123" s="49"/>
      <c r="D123" s="49">
        <v>5</v>
      </c>
      <c r="E123" s="67">
        <v>7</v>
      </c>
      <c r="F123" s="67">
        <v>81354</v>
      </c>
      <c r="G123" s="12">
        <f t="shared" si="18"/>
        <v>0.34298611111111116</v>
      </c>
      <c r="H123" s="19" t="str">
        <f t="shared" si="20"/>
        <v/>
      </c>
      <c r="I123" s="19" t="str">
        <f t="shared" si="21"/>
        <v/>
      </c>
      <c r="J123" s="19" t="str">
        <f t="shared" si="22"/>
        <v/>
      </c>
      <c r="K123" s="19" t="str">
        <f t="shared" si="23"/>
        <v/>
      </c>
      <c r="L123" s="19" t="str">
        <f t="shared" si="24"/>
        <v/>
      </c>
      <c r="M123" s="19" t="str">
        <f t="shared" si="25"/>
        <v/>
      </c>
      <c r="N123" s="19">
        <f t="shared" si="26"/>
        <v>3.7037037037046527E-4</v>
      </c>
      <c r="O123" s="19" t="str">
        <f t="shared" si="27"/>
        <v/>
      </c>
      <c r="P123" s="19" t="str">
        <f t="shared" si="28"/>
        <v/>
      </c>
      <c r="Q123" s="12">
        <f t="shared" si="29"/>
        <v>3.7037037037046527E-4</v>
      </c>
      <c r="R123" s="39" t="str">
        <f t="shared" si="30"/>
        <v/>
      </c>
      <c r="S123" s="78"/>
      <c r="T123" s="41"/>
      <c r="U123" s="21"/>
      <c r="V123" s="12" t="str">
        <f t="shared" si="19"/>
        <v/>
      </c>
      <c r="W123" s="22" t="str">
        <f t="shared" si="17"/>
        <v/>
      </c>
    </row>
    <row r="124" spans="1:25" x14ac:dyDescent="0.25">
      <c r="A124" s="67">
        <v>110</v>
      </c>
      <c r="B124" s="49"/>
      <c r="C124" s="49"/>
      <c r="D124" s="49"/>
      <c r="E124" s="67">
        <v>1</v>
      </c>
      <c r="F124" s="67">
        <v>81358</v>
      </c>
      <c r="G124" s="12">
        <f t="shared" si="18"/>
        <v>0.34303240740740742</v>
      </c>
      <c r="H124" s="19">
        <f t="shared" si="20"/>
        <v>4.6296296296266526E-5</v>
      </c>
      <c r="I124" s="19" t="str">
        <f t="shared" si="21"/>
        <v/>
      </c>
      <c r="J124" s="19" t="str">
        <f t="shared" si="22"/>
        <v/>
      </c>
      <c r="K124" s="19" t="str">
        <f t="shared" si="23"/>
        <v/>
      </c>
      <c r="L124" s="19" t="str">
        <f t="shared" si="24"/>
        <v/>
      </c>
      <c r="M124" s="19" t="str">
        <f t="shared" si="25"/>
        <v/>
      </c>
      <c r="N124" s="19" t="str">
        <f t="shared" si="26"/>
        <v/>
      </c>
      <c r="O124" s="19" t="str">
        <f t="shared" si="27"/>
        <v/>
      </c>
      <c r="P124" s="19" t="str">
        <f t="shared" si="28"/>
        <v/>
      </c>
      <c r="Q124" s="12">
        <f t="shared" si="29"/>
        <v>4.6296296296266526E-5</v>
      </c>
      <c r="R124" s="39">
        <f t="shared" si="30"/>
        <v>6.6666666666666666E-2</v>
      </c>
      <c r="S124" s="78"/>
      <c r="T124" s="20"/>
      <c r="U124" s="21"/>
      <c r="V124" s="12">
        <f t="shared" si="19"/>
        <v>4.6296296296266526E-5</v>
      </c>
      <c r="W124" s="22" t="str">
        <f t="shared" si="17"/>
        <v/>
      </c>
    </row>
    <row r="125" spans="1:25" ht="13" x14ac:dyDescent="0.3">
      <c r="A125" s="67">
        <v>111</v>
      </c>
      <c r="B125" s="49"/>
      <c r="C125" s="49"/>
      <c r="D125" s="49"/>
      <c r="E125" s="67">
        <v>1</v>
      </c>
      <c r="F125" s="67">
        <v>81422</v>
      </c>
      <c r="G125" s="12">
        <f t="shared" si="18"/>
        <v>0.34331018518518519</v>
      </c>
      <c r="H125" s="19">
        <f t="shared" si="20"/>
        <v>2.7777777777776569E-4</v>
      </c>
      <c r="I125" s="19" t="str">
        <f t="shared" si="21"/>
        <v/>
      </c>
      <c r="J125" s="19" t="str">
        <f t="shared" si="22"/>
        <v/>
      </c>
      <c r="K125" s="19" t="str">
        <f t="shared" si="23"/>
        <v/>
      </c>
      <c r="L125" s="19" t="str">
        <f t="shared" si="24"/>
        <v/>
      </c>
      <c r="M125" s="19" t="str">
        <f t="shared" si="25"/>
        <v/>
      </c>
      <c r="N125" s="19" t="str">
        <f t="shared" si="26"/>
        <v/>
      </c>
      <c r="O125" s="19" t="str">
        <f t="shared" si="27"/>
        <v/>
      </c>
      <c r="P125" s="19" t="str">
        <f t="shared" si="28"/>
        <v/>
      </c>
      <c r="Q125" s="12">
        <f t="shared" si="29"/>
        <v>2.7777777777776569E-4</v>
      </c>
      <c r="R125" s="39">
        <f t="shared" si="30"/>
        <v>0.4</v>
      </c>
      <c r="S125" s="78"/>
      <c r="T125" s="20"/>
      <c r="U125" s="21"/>
      <c r="V125" s="12">
        <f t="shared" si="19"/>
        <v>2.7777777777776569E-4</v>
      </c>
      <c r="W125" s="22">
        <f t="shared" si="17"/>
        <v>24</v>
      </c>
      <c r="X125" s="74"/>
      <c r="Y125" s="74"/>
    </row>
    <row r="126" spans="1:25" x14ac:dyDescent="0.25">
      <c r="A126" s="67">
        <v>112</v>
      </c>
      <c r="B126" s="49"/>
      <c r="C126" s="49"/>
      <c r="D126" s="49"/>
      <c r="E126" s="67">
        <v>1</v>
      </c>
      <c r="F126" s="67">
        <v>81446</v>
      </c>
      <c r="G126" s="12">
        <f t="shared" si="18"/>
        <v>0.34358796296296296</v>
      </c>
      <c r="H126" s="19">
        <f t="shared" si="20"/>
        <v>2.7777777777776569E-4</v>
      </c>
      <c r="I126" s="19" t="str">
        <f t="shared" si="21"/>
        <v/>
      </c>
      <c r="J126" s="19" t="str">
        <f t="shared" si="22"/>
        <v/>
      </c>
      <c r="K126" s="19" t="str">
        <f t="shared" si="23"/>
        <v/>
      </c>
      <c r="L126" s="19" t="str">
        <f t="shared" si="24"/>
        <v/>
      </c>
      <c r="M126" s="19" t="str">
        <f t="shared" si="25"/>
        <v/>
      </c>
      <c r="N126" s="19" t="str">
        <f t="shared" si="26"/>
        <v/>
      </c>
      <c r="O126" s="19" t="str">
        <f t="shared" si="27"/>
        <v/>
      </c>
      <c r="P126" s="19" t="str">
        <f t="shared" si="28"/>
        <v/>
      </c>
      <c r="Q126" s="12">
        <f t="shared" si="29"/>
        <v>2.7777777777776569E-4</v>
      </c>
      <c r="R126" s="39">
        <f t="shared" si="30"/>
        <v>0.4</v>
      </c>
      <c r="S126" s="78"/>
      <c r="T126" s="20"/>
      <c r="U126" s="21"/>
      <c r="V126" s="12">
        <f t="shared" si="19"/>
        <v>2.7777777777776569E-4</v>
      </c>
      <c r="W126" s="22">
        <f t="shared" si="17"/>
        <v>24</v>
      </c>
    </row>
    <row r="127" spans="1:25" x14ac:dyDescent="0.25">
      <c r="A127" s="67">
        <v>113</v>
      </c>
      <c r="B127" s="49"/>
      <c r="C127" s="49"/>
      <c r="D127" s="49"/>
      <c r="E127" s="67">
        <v>1</v>
      </c>
      <c r="F127" s="67">
        <v>81512</v>
      </c>
      <c r="G127" s="12">
        <f t="shared" si="18"/>
        <v>0.34388888888888891</v>
      </c>
      <c r="H127" s="19">
        <f t="shared" si="20"/>
        <v>3.0092592592595446E-4</v>
      </c>
      <c r="I127" s="19" t="str">
        <f t="shared" si="21"/>
        <v/>
      </c>
      <c r="J127" s="19" t="str">
        <f t="shared" si="22"/>
        <v/>
      </c>
      <c r="K127" s="19" t="str">
        <f t="shared" si="23"/>
        <v/>
      </c>
      <c r="L127" s="19" t="str">
        <f t="shared" si="24"/>
        <v/>
      </c>
      <c r="M127" s="19" t="str">
        <f t="shared" si="25"/>
        <v/>
      </c>
      <c r="N127" s="19" t="str">
        <f t="shared" si="26"/>
        <v/>
      </c>
      <c r="O127" s="19" t="str">
        <f t="shared" si="27"/>
        <v/>
      </c>
      <c r="P127" s="19" t="str">
        <f t="shared" si="28"/>
        <v/>
      </c>
      <c r="Q127" s="12">
        <f t="shared" si="29"/>
        <v>3.0092592592595446E-4</v>
      </c>
      <c r="R127" s="39">
        <f t="shared" si="30"/>
        <v>0.43333333333333335</v>
      </c>
      <c r="S127" s="78"/>
      <c r="T127" s="20"/>
      <c r="U127" s="21"/>
      <c r="V127" s="12">
        <f t="shared" si="19"/>
        <v>3.0092592592595446E-4</v>
      </c>
      <c r="W127" s="22">
        <f t="shared" si="17"/>
        <v>26</v>
      </c>
    </row>
    <row r="128" spans="1:25" x14ac:dyDescent="0.25">
      <c r="A128" s="67">
        <v>114</v>
      </c>
      <c r="B128" s="49"/>
      <c r="C128" s="49"/>
      <c r="D128" s="50"/>
      <c r="E128" s="67">
        <v>1</v>
      </c>
      <c r="F128" s="67">
        <v>81538</v>
      </c>
      <c r="G128" s="12">
        <f t="shared" si="18"/>
        <v>0.34418981481481481</v>
      </c>
      <c r="H128" s="19">
        <f t="shared" si="20"/>
        <v>3.0092592592589895E-4</v>
      </c>
      <c r="I128" s="19" t="str">
        <f t="shared" si="21"/>
        <v/>
      </c>
      <c r="J128" s="19" t="str">
        <f t="shared" si="22"/>
        <v/>
      </c>
      <c r="K128" s="19" t="str">
        <f t="shared" si="23"/>
        <v/>
      </c>
      <c r="L128" s="19" t="str">
        <f t="shared" si="24"/>
        <v/>
      </c>
      <c r="M128" s="19" t="str">
        <f t="shared" si="25"/>
        <v/>
      </c>
      <c r="N128" s="19" t="str">
        <f t="shared" si="26"/>
        <v/>
      </c>
      <c r="O128" s="19" t="str">
        <f t="shared" si="27"/>
        <v/>
      </c>
      <c r="P128" s="19" t="str">
        <f t="shared" si="28"/>
        <v/>
      </c>
      <c r="Q128" s="12">
        <f t="shared" si="29"/>
        <v>3.0092592592589895E-4</v>
      </c>
      <c r="R128" s="39">
        <f t="shared" si="30"/>
        <v>0.43333333333333335</v>
      </c>
      <c r="S128" s="78" t="s">
        <v>41</v>
      </c>
      <c r="T128" s="20"/>
      <c r="U128" s="21"/>
      <c r="V128" s="12">
        <f t="shared" si="19"/>
        <v>3.0092592592589895E-4</v>
      </c>
      <c r="W128" s="22">
        <f t="shared" si="17"/>
        <v>26</v>
      </c>
    </row>
    <row r="129" spans="1:23" x14ac:dyDescent="0.25">
      <c r="A129" s="67">
        <v>115</v>
      </c>
      <c r="B129" s="67"/>
      <c r="C129" s="50"/>
      <c r="D129" s="50"/>
      <c r="E129" s="67">
        <v>4</v>
      </c>
      <c r="F129" s="67">
        <v>81608</v>
      </c>
      <c r="G129" s="12">
        <f t="shared" si="18"/>
        <v>0.34453703703703703</v>
      </c>
      <c r="H129" s="19" t="str">
        <f t="shared" si="20"/>
        <v/>
      </c>
      <c r="I129" s="19" t="str">
        <f t="shared" si="21"/>
        <v/>
      </c>
      <c r="J129" s="19" t="str">
        <f t="shared" si="22"/>
        <v/>
      </c>
      <c r="K129" s="19">
        <f t="shared" si="23"/>
        <v>3.4722222222222099E-4</v>
      </c>
      <c r="L129" s="19" t="str">
        <f t="shared" si="24"/>
        <v/>
      </c>
      <c r="M129" s="19" t="str">
        <f t="shared" si="25"/>
        <v/>
      </c>
      <c r="N129" s="19" t="str">
        <f t="shared" si="26"/>
        <v/>
      </c>
      <c r="O129" s="19" t="str">
        <f t="shared" si="27"/>
        <v/>
      </c>
      <c r="P129" s="19" t="str">
        <f t="shared" si="28"/>
        <v/>
      </c>
      <c r="Q129" s="12">
        <f t="shared" si="29"/>
        <v>3.4722222222222099E-4</v>
      </c>
      <c r="R129" s="39" t="str">
        <f t="shared" si="30"/>
        <v/>
      </c>
      <c r="S129" s="78"/>
      <c r="T129" s="20"/>
      <c r="U129" s="21"/>
      <c r="V129" s="12" t="str">
        <f t="shared" si="19"/>
        <v/>
      </c>
      <c r="W129" s="22" t="str">
        <f t="shared" si="17"/>
        <v/>
      </c>
    </row>
    <row r="130" spans="1:23" x14ac:dyDescent="0.25">
      <c r="A130" s="67">
        <v>116</v>
      </c>
      <c r="B130" s="67">
        <v>8</v>
      </c>
      <c r="C130" s="50"/>
      <c r="D130" s="49">
        <v>5</v>
      </c>
      <c r="E130" s="67">
        <v>7</v>
      </c>
      <c r="F130" s="67">
        <v>81659</v>
      </c>
      <c r="G130" s="12">
        <f t="shared" si="18"/>
        <v>0.34512731481481485</v>
      </c>
      <c r="H130" s="19" t="str">
        <f t="shared" si="20"/>
        <v/>
      </c>
      <c r="I130" s="19" t="str">
        <f t="shared" si="21"/>
        <v/>
      </c>
      <c r="J130" s="19" t="str">
        <f t="shared" si="22"/>
        <v/>
      </c>
      <c r="K130" s="19" t="str">
        <f t="shared" si="23"/>
        <v/>
      </c>
      <c r="L130" s="19" t="str">
        <f t="shared" si="24"/>
        <v/>
      </c>
      <c r="M130" s="19" t="str">
        <f t="shared" si="25"/>
        <v/>
      </c>
      <c r="N130" s="19">
        <f t="shared" si="26"/>
        <v>5.9027777777781454E-4</v>
      </c>
      <c r="O130" s="19" t="str">
        <f t="shared" si="27"/>
        <v/>
      </c>
      <c r="P130" s="19" t="str">
        <f t="shared" si="28"/>
        <v/>
      </c>
      <c r="Q130" s="12">
        <f t="shared" si="29"/>
        <v>5.9027777777781454E-4</v>
      </c>
      <c r="R130" s="39" t="str">
        <f t="shared" si="30"/>
        <v/>
      </c>
      <c r="S130" s="78"/>
      <c r="T130" s="20"/>
      <c r="U130" s="21"/>
      <c r="V130" s="12" t="str">
        <f t="shared" si="19"/>
        <v/>
      </c>
      <c r="W130" s="22" t="str">
        <f t="shared" si="17"/>
        <v/>
      </c>
    </row>
    <row r="131" spans="1:23" x14ac:dyDescent="0.25">
      <c r="A131" s="67">
        <v>117</v>
      </c>
      <c r="B131" s="49"/>
      <c r="C131" s="49"/>
      <c r="D131" s="49"/>
      <c r="E131" s="67">
        <v>1</v>
      </c>
      <c r="F131" s="67">
        <v>81704</v>
      </c>
      <c r="G131" s="12">
        <f t="shared" si="18"/>
        <v>0.34518518518518521</v>
      </c>
      <c r="H131" s="19">
        <f t="shared" si="20"/>
        <v>5.7870370370360913E-5</v>
      </c>
      <c r="I131" s="19" t="str">
        <f t="shared" si="21"/>
        <v/>
      </c>
      <c r="J131" s="19" t="str">
        <f t="shared" si="22"/>
        <v/>
      </c>
      <c r="K131" s="19" t="str">
        <f t="shared" si="23"/>
        <v/>
      </c>
      <c r="L131" s="19" t="str">
        <f t="shared" si="24"/>
        <v/>
      </c>
      <c r="M131" s="19" t="str">
        <f t="shared" si="25"/>
        <v/>
      </c>
      <c r="N131" s="19" t="str">
        <f t="shared" si="26"/>
        <v/>
      </c>
      <c r="O131" s="19" t="str">
        <f t="shared" si="27"/>
        <v/>
      </c>
      <c r="P131" s="19" t="str">
        <f t="shared" si="28"/>
        <v/>
      </c>
      <c r="Q131" s="12">
        <f t="shared" si="29"/>
        <v>5.7870370370360913E-5</v>
      </c>
      <c r="R131" s="39">
        <f t="shared" si="30"/>
        <v>8.3333333333333329E-2</v>
      </c>
      <c r="S131" s="78"/>
      <c r="T131" s="20"/>
      <c r="U131" s="21"/>
      <c r="V131" s="12">
        <f t="shared" si="19"/>
        <v>5.7870370370360913E-5</v>
      </c>
      <c r="W131" s="22" t="str">
        <f t="shared" si="17"/>
        <v/>
      </c>
    </row>
    <row r="132" spans="1:23" x14ac:dyDescent="0.25">
      <c r="A132" s="67">
        <v>118</v>
      </c>
      <c r="B132" s="49"/>
      <c r="C132" s="49"/>
      <c r="D132" s="49"/>
      <c r="E132" s="67">
        <v>1</v>
      </c>
      <c r="F132" s="67">
        <v>81722</v>
      </c>
      <c r="G132" s="12">
        <f t="shared" si="18"/>
        <v>0.34539351851851857</v>
      </c>
      <c r="H132" s="19">
        <f t="shared" si="20"/>
        <v>2.083333333333659E-4</v>
      </c>
      <c r="I132" s="19" t="str">
        <f t="shared" si="21"/>
        <v/>
      </c>
      <c r="J132" s="19" t="str">
        <f t="shared" si="22"/>
        <v/>
      </c>
      <c r="K132" s="19" t="str">
        <f t="shared" si="23"/>
        <v/>
      </c>
      <c r="L132" s="19" t="str">
        <f t="shared" si="24"/>
        <v/>
      </c>
      <c r="M132" s="19" t="str">
        <f t="shared" si="25"/>
        <v/>
      </c>
      <c r="N132" s="19" t="str">
        <f t="shared" si="26"/>
        <v/>
      </c>
      <c r="O132" s="19" t="str">
        <f t="shared" si="27"/>
        <v/>
      </c>
      <c r="P132" s="19" t="str">
        <f t="shared" si="28"/>
        <v/>
      </c>
      <c r="Q132" s="12">
        <f t="shared" si="29"/>
        <v>2.083333333333659E-4</v>
      </c>
      <c r="R132" s="39">
        <f t="shared" si="30"/>
        <v>0.3</v>
      </c>
      <c r="S132" s="78"/>
      <c r="T132" s="20"/>
      <c r="U132" s="21"/>
      <c r="V132" s="12">
        <f t="shared" si="19"/>
        <v>2.083333333333659E-4</v>
      </c>
      <c r="W132" s="22">
        <f t="shared" si="17"/>
        <v>18</v>
      </c>
    </row>
    <row r="133" spans="1:23" x14ac:dyDescent="0.25">
      <c r="A133" s="67">
        <v>119</v>
      </c>
      <c r="B133" s="49"/>
      <c r="C133" s="49"/>
      <c r="D133" s="49"/>
      <c r="E133" s="67">
        <v>1</v>
      </c>
      <c r="F133" s="67">
        <v>81744</v>
      </c>
      <c r="G133" s="12">
        <f t="shared" si="18"/>
        <v>0.34564814814814815</v>
      </c>
      <c r="H133" s="19">
        <f t="shared" si="20"/>
        <v>2.5462962962957691E-4</v>
      </c>
      <c r="I133" s="19" t="str">
        <f t="shared" si="21"/>
        <v/>
      </c>
      <c r="J133" s="19" t="str">
        <f t="shared" si="22"/>
        <v/>
      </c>
      <c r="K133" s="19" t="str">
        <f t="shared" si="23"/>
        <v/>
      </c>
      <c r="L133" s="19" t="str">
        <f t="shared" si="24"/>
        <v/>
      </c>
      <c r="M133" s="19" t="str">
        <f t="shared" si="25"/>
        <v/>
      </c>
      <c r="N133" s="19" t="str">
        <f t="shared" si="26"/>
        <v/>
      </c>
      <c r="O133" s="19" t="str">
        <f t="shared" si="27"/>
        <v/>
      </c>
      <c r="P133" s="19" t="str">
        <f t="shared" si="28"/>
        <v/>
      </c>
      <c r="Q133" s="12">
        <f t="shared" si="29"/>
        <v>2.5462962962957691E-4</v>
      </c>
      <c r="R133" s="39">
        <f t="shared" si="30"/>
        <v>0.36666666666666664</v>
      </c>
      <c r="S133" s="78"/>
      <c r="T133" s="20"/>
      <c r="U133" s="31"/>
      <c r="V133" s="12">
        <f t="shared" si="19"/>
        <v>2.5462962962957691E-4</v>
      </c>
      <c r="W133" s="22">
        <f t="shared" si="17"/>
        <v>22</v>
      </c>
    </row>
    <row r="134" spans="1:23" x14ac:dyDescent="0.25">
      <c r="A134" s="67">
        <v>120</v>
      </c>
      <c r="B134" s="49"/>
      <c r="C134" s="49"/>
      <c r="D134" s="49"/>
      <c r="E134" s="67">
        <v>1</v>
      </c>
      <c r="F134" s="67">
        <v>81807</v>
      </c>
      <c r="G134" s="12">
        <f t="shared" si="18"/>
        <v>0.34591435185185188</v>
      </c>
      <c r="H134" s="19">
        <f t="shared" si="20"/>
        <v>2.6620370370372681E-4</v>
      </c>
      <c r="I134" s="19" t="str">
        <f t="shared" si="21"/>
        <v/>
      </c>
      <c r="J134" s="19" t="str">
        <f t="shared" si="22"/>
        <v/>
      </c>
      <c r="K134" s="19" t="str">
        <f t="shared" si="23"/>
        <v/>
      </c>
      <c r="L134" s="19" t="str">
        <f t="shared" si="24"/>
        <v/>
      </c>
      <c r="M134" s="19" t="str">
        <f t="shared" si="25"/>
        <v/>
      </c>
      <c r="N134" s="19" t="str">
        <f t="shared" si="26"/>
        <v/>
      </c>
      <c r="O134" s="19" t="str">
        <f t="shared" si="27"/>
        <v/>
      </c>
      <c r="P134" s="19" t="str">
        <f t="shared" si="28"/>
        <v/>
      </c>
      <c r="Q134" s="12">
        <f t="shared" si="29"/>
        <v>2.6620370370372681E-4</v>
      </c>
      <c r="R134" s="39">
        <f t="shared" si="30"/>
        <v>0.38333333333333336</v>
      </c>
      <c r="S134" s="78"/>
      <c r="T134" s="20"/>
      <c r="U134" s="21"/>
      <c r="V134" s="12">
        <f t="shared" si="19"/>
        <v>2.6620370370372681E-4</v>
      </c>
      <c r="W134" s="22">
        <f t="shared" si="17"/>
        <v>23</v>
      </c>
    </row>
    <row r="135" spans="1:23" x14ac:dyDescent="0.25">
      <c r="A135" s="67">
        <v>121</v>
      </c>
      <c r="B135" s="49"/>
      <c r="C135" s="49"/>
      <c r="D135" s="49"/>
      <c r="E135" s="67">
        <v>1</v>
      </c>
      <c r="F135" s="67">
        <v>81831</v>
      </c>
      <c r="G135" s="12">
        <f t="shared" si="18"/>
        <v>0.34619212962962959</v>
      </c>
      <c r="H135" s="19">
        <f t="shared" si="20"/>
        <v>2.7777777777771018E-4</v>
      </c>
      <c r="I135" s="19" t="str">
        <f t="shared" si="21"/>
        <v/>
      </c>
      <c r="J135" s="19" t="str">
        <f t="shared" si="22"/>
        <v/>
      </c>
      <c r="K135" s="19" t="str">
        <f t="shared" si="23"/>
        <v/>
      </c>
      <c r="L135" s="19" t="str">
        <f t="shared" si="24"/>
        <v/>
      </c>
      <c r="M135" s="19" t="str">
        <f t="shared" si="25"/>
        <v/>
      </c>
      <c r="N135" s="19" t="str">
        <f t="shared" si="26"/>
        <v/>
      </c>
      <c r="O135" s="19" t="str">
        <f t="shared" si="27"/>
        <v/>
      </c>
      <c r="P135" s="19" t="str">
        <f t="shared" si="28"/>
        <v/>
      </c>
      <c r="Q135" s="12">
        <f t="shared" si="29"/>
        <v>2.7777777777771018E-4</v>
      </c>
      <c r="R135" s="39">
        <f t="shared" si="30"/>
        <v>0.4</v>
      </c>
      <c r="S135" s="78" t="s">
        <v>50</v>
      </c>
      <c r="T135" s="20"/>
      <c r="U135" s="21"/>
      <c r="V135" s="12">
        <f t="shared" si="19"/>
        <v>2.7777777777771018E-4</v>
      </c>
      <c r="W135" s="22">
        <f t="shared" si="17"/>
        <v>24</v>
      </c>
    </row>
    <row r="136" spans="1:23" x14ac:dyDescent="0.25">
      <c r="A136" s="67">
        <v>122</v>
      </c>
      <c r="B136" s="49"/>
      <c r="C136" s="49"/>
      <c r="D136" s="49"/>
      <c r="E136" s="67">
        <v>4</v>
      </c>
      <c r="F136" s="67">
        <v>81852</v>
      </c>
      <c r="G136" s="12">
        <f t="shared" si="18"/>
        <v>0.34643518518518518</v>
      </c>
      <c r="H136" s="19" t="str">
        <f t="shared" si="20"/>
        <v/>
      </c>
      <c r="I136" s="19" t="str">
        <f t="shared" si="21"/>
        <v/>
      </c>
      <c r="J136" s="19" t="str">
        <f t="shared" si="22"/>
        <v/>
      </c>
      <c r="K136" s="19">
        <f t="shared" si="23"/>
        <v>2.4305555555559355E-4</v>
      </c>
      <c r="L136" s="19" t="str">
        <f t="shared" si="24"/>
        <v/>
      </c>
      <c r="M136" s="19" t="str">
        <f t="shared" si="25"/>
        <v/>
      </c>
      <c r="N136" s="19" t="str">
        <f t="shared" si="26"/>
        <v/>
      </c>
      <c r="O136" s="19" t="str">
        <f t="shared" si="27"/>
        <v/>
      </c>
      <c r="P136" s="19" t="str">
        <f t="shared" si="28"/>
        <v/>
      </c>
      <c r="Q136" s="12">
        <f t="shared" si="29"/>
        <v>2.4305555555559355E-4</v>
      </c>
      <c r="R136" s="39" t="str">
        <f t="shared" si="30"/>
        <v/>
      </c>
      <c r="S136" s="78"/>
      <c r="T136" s="20"/>
      <c r="V136" s="12" t="str">
        <f t="shared" si="19"/>
        <v/>
      </c>
      <c r="W136" s="22" t="str">
        <f t="shared" si="17"/>
        <v/>
      </c>
    </row>
    <row r="137" spans="1:23" x14ac:dyDescent="0.25">
      <c r="A137" s="67">
        <v>122</v>
      </c>
      <c r="B137" s="49">
        <v>9</v>
      </c>
      <c r="C137" s="49"/>
      <c r="D137" s="49">
        <v>5</v>
      </c>
      <c r="E137" s="67">
        <v>7</v>
      </c>
      <c r="F137" s="67">
        <v>81928</v>
      </c>
      <c r="G137" s="12">
        <f t="shared" si="18"/>
        <v>0.3468518518518518</v>
      </c>
      <c r="H137" s="19" t="str">
        <f t="shared" si="20"/>
        <v/>
      </c>
      <c r="I137" s="19" t="str">
        <f t="shared" si="21"/>
        <v/>
      </c>
      <c r="J137" s="19" t="str">
        <f t="shared" si="22"/>
        <v/>
      </c>
      <c r="K137" s="19" t="str">
        <f t="shared" si="23"/>
        <v/>
      </c>
      <c r="L137" s="19" t="str">
        <f t="shared" si="24"/>
        <v/>
      </c>
      <c r="M137" s="19" t="str">
        <f t="shared" si="25"/>
        <v/>
      </c>
      <c r="N137" s="19">
        <f t="shared" si="26"/>
        <v>4.1666666666662078E-4</v>
      </c>
      <c r="O137" s="19" t="str">
        <f t="shared" si="27"/>
        <v/>
      </c>
      <c r="P137" s="19" t="str">
        <f t="shared" si="28"/>
        <v/>
      </c>
      <c r="Q137" s="12">
        <f t="shared" si="29"/>
        <v>4.1666666666662078E-4</v>
      </c>
      <c r="R137" s="39" t="str">
        <f t="shared" si="30"/>
        <v/>
      </c>
      <c r="S137" s="78"/>
      <c r="T137" s="20"/>
      <c r="V137" s="12" t="str">
        <f t="shared" si="19"/>
        <v/>
      </c>
      <c r="W137" s="22" t="str">
        <f t="shared" si="17"/>
        <v/>
      </c>
    </row>
    <row r="138" spans="1:23" x14ac:dyDescent="0.25">
      <c r="A138" s="67">
        <v>123</v>
      </c>
      <c r="B138" s="49"/>
      <c r="C138" s="49"/>
      <c r="D138" s="49"/>
      <c r="E138" s="67">
        <v>1</v>
      </c>
      <c r="F138" s="67">
        <v>81932</v>
      </c>
      <c r="G138" s="12">
        <f t="shared" si="18"/>
        <v>0.34689814814814812</v>
      </c>
      <c r="H138" s="19">
        <f t="shared" si="20"/>
        <v>4.6296296296322037E-5</v>
      </c>
      <c r="I138" s="19" t="str">
        <f t="shared" si="21"/>
        <v/>
      </c>
      <c r="J138" s="19" t="str">
        <f t="shared" si="22"/>
        <v/>
      </c>
      <c r="K138" s="19" t="str">
        <f t="shared" si="23"/>
        <v/>
      </c>
      <c r="L138" s="19" t="str">
        <f t="shared" si="24"/>
        <v/>
      </c>
      <c r="M138" s="19" t="str">
        <f t="shared" si="25"/>
        <v/>
      </c>
      <c r="N138" s="19" t="str">
        <f t="shared" si="26"/>
        <v/>
      </c>
      <c r="O138" s="19" t="str">
        <f t="shared" si="27"/>
        <v/>
      </c>
      <c r="P138" s="19" t="str">
        <f t="shared" si="28"/>
        <v/>
      </c>
      <c r="Q138" s="12">
        <f t="shared" si="29"/>
        <v>4.6296296296322037E-5</v>
      </c>
      <c r="R138" s="39">
        <f t="shared" si="30"/>
        <v>6.6666666666666666E-2</v>
      </c>
      <c r="S138" s="78"/>
      <c r="T138" s="20"/>
      <c r="V138" s="12">
        <f t="shared" si="19"/>
        <v>4.6296296296322037E-5</v>
      </c>
      <c r="W138" s="22" t="str">
        <f t="shared" si="17"/>
        <v/>
      </c>
    </row>
    <row r="139" spans="1:23" x14ac:dyDescent="0.25">
      <c r="A139" s="67">
        <v>124</v>
      </c>
      <c r="B139" s="49"/>
      <c r="C139" s="49"/>
      <c r="D139" s="49"/>
      <c r="E139" s="67">
        <v>1</v>
      </c>
      <c r="F139" s="67">
        <v>81953</v>
      </c>
      <c r="G139" s="12">
        <f t="shared" si="18"/>
        <v>0.34714120370370366</v>
      </c>
      <c r="H139" s="19">
        <f t="shared" si="20"/>
        <v>2.4305555555553804E-4</v>
      </c>
      <c r="I139" s="19" t="str">
        <f t="shared" si="21"/>
        <v/>
      </c>
      <c r="J139" s="19" t="str">
        <f t="shared" si="22"/>
        <v/>
      </c>
      <c r="K139" s="19" t="str">
        <f t="shared" si="23"/>
        <v/>
      </c>
      <c r="L139" s="19" t="str">
        <f t="shared" si="24"/>
        <v/>
      </c>
      <c r="M139" s="19" t="str">
        <f t="shared" si="25"/>
        <v/>
      </c>
      <c r="N139" s="19" t="str">
        <f t="shared" si="26"/>
        <v/>
      </c>
      <c r="O139" s="19" t="str">
        <f t="shared" si="27"/>
        <v/>
      </c>
      <c r="P139" s="19" t="str">
        <f t="shared" si="28"/>
        <v/>
      </c>
      <c r="Q139" s="12">
        <f t="shared" si="29"/>
        <v>2.4305555555553804E-4</v>
      </c>
      <c r="R139" s="39">
        <f t="shared" si="30"/>
        <v>0.35</v>
      </c>
      <c r="S139" s="78"/>
      <c r="T139" s="20"/>
      <c r="V139" s="12">
        <f t="shared" si="19"/>
        <v>2.4305555555553804E-4</v>
      </c>
      <c r="W139" s="22">
        <f t="shared" si="17"/>
        <v>21</v>
      </c>
    </row>
    <row r="140" spans="1:23" x14ac:dyDescent="0.25">
      <c r="A140" s="67">
        <v>125</v>
      </c>
      <c r="B140" s="49"/>
      <c r="C140" s="49"/>
      <c r="D140" s="50"/>
      <c r="E140" s="67">
        <v>1</v>
      </c>
      <c r="F140" s="67">
        <v>82015</v>
      </c>
      <c r="G140" s="12">
        <f t="shared" si="18"/>
        <v>0.34739583333333335</v>
      </c>
      <c r="H140" s="19">
        <f t="shared" si="20"/>
        <v>2.5462962962968794E-4</v>
      </c>
      <c r="I140" s="19" t="str">
        <f t="shared" si="21"/>
        <v/>
      </c>
      <c r="J140" s="19" t="str">
        <f t="shared" si="22"/>
        <v/>
      </c>
      <c r="K140" s="19" t="str">
        <f t="shared" si="23"/>
        <v/>
      </c>
      <c r="L140" s="19" t="str">
        <f t="shared" si="24"/>
        <v/>
      </c>
      <c r="M140" s="19" t="str">
        <f t="shared" si="25"/>
        <v/>
      </c>
      <c r="N140" s="19" t="str">
        <f t="shared" si="26"/>
        <v/>
      </c>
      <c r="O140" s="19" t="str">
        <f t="shared" si="27"/>
        <v/>
      </c>
      <c r="P140" s="19" t="str">
        <f t="shared" si="28"/>
        <v/>
      </c>
      <c r="Q140" s="12">
        <f t="shared" si="29"/>
        <v>2.5462962962968794E-4</v>
      </c>
      <c r="R140" s="39">
        <f t="shared" si="30"/>
        <v>0.36666666666666664</v>
      </c>
      <c r="S140" s="78"/>
      <c r="T140" s="20"/>
      <c r="V140" s="12">
        <f t="shared" si="19"/>
        <v>2.5462962962968794E-4</v>
      </c>
      <c r="W140" s="22">
        <f t="shared" si="17"/>
        <v>22</v>
      </c>
    </row>
    <row r="141" spans="1:23" x14ac:dyDescent="0.25">
      <c r="A141" s="67">
        <v>126</v>
      </c>
      <c r="B141" s="67"/>
      <c r="C141" s="50"/>
      <c r="D141" s="50"/>
      <c r="E141" s="67">
        <v>1</v>
      </c>
      <c r="F141" s="67">
        <v>82040</v>
      </c>
      <c r="G141" s="12">
        <f t="shared" si="18"/>
        <v>0.34768518518518521</v>
      </c>
      <c r="H141" s="19">
        <f t="shared" si="20"/>
        <v>2.8935185185186008E-4</v>
      </c>
      <c r="I141" s="19" t="str">
        <f t="shared" si="21"/>
        <v/>
      </c>
      <c r="J141" s="19" t="str">
        <f t="shared" si="22"/>
        <v/>
      </c>
      <c r="K141" s="19" t="str">
        <f t="shared" si="23"/>
        <v/>
      </c>
      <c r="L141" s="19" t="str">
        <f t="shared" si="24"/>
        <v/>
      </c>
      <c r="M141" s="19" t="str">
        <f t="shared" si="25"/>
        <v/>
      </c>
      <c r="N141" s="19" t="str">
        <f t="shared" si="26"/>
        <v/>
      </c>
      <c r="O141" s="19" t="str">
        <f t="shared" si="27"/>
        <v/>
      </c>
      <c r="P141" s="19" t="str">
        <f t="shared" si="28"/>
        <v/>
      </c>
      <c r="Q141" s="12">
        <f t="shared" si="29"/>
        <v>2.8935185185186008E-4</v>
      </c>
      <c r="R141" s="39">
        <f t="shared" si="30"/>
        <v>0.41666666666666669</v>
      </c>
      <c r="S141" s="78"/>
      <c r="T141" s="20"/>
      <c r="V141" s="12">
        <f t="shared" si="19"/>
        <v>2.8935185185186008E-4</v>
      </c>
      <c r="W141" s="22">
        <f t="shared" si="17"/>
        <v>25</v>
      </c>
    </row>
    <row r="142" spans="1:23" x14ac:dyDescent="0.25">
      <c r="A142" s="67">
        <v>127</v>
      </c>
      <c r="B142" s="67"/>
      <c r="C142" s="50"/>
      <c r="D142" s="49"/>
      <c r="E142" s="67">
        <v>1</v>
      </c>
      <c r="F142" s="67">
        <v>82104</v>
      </c>
      <c r="G142" s="12">
        <f t="shared" si="18"/>
        <v>0.34796296296296297</v>
      </c>
      <c r="H142" s="19">
        <f t="shared" si="20"/>
        <v>2.7777777777776569E-4</v>
      </c>
      <c r="I142" s="19" t="str">
        <f t="shared" si="21"/>
        <v/>
      </c>
      <c r="J142" s="19" t="str">
        <f t="shared" si="22"/>
        <v/>
      </c>
      <c r="K142" s="19" t="str">
        <f t="shared" si="23"/>
        <v/>
      </c>
      <c r="L142" s="19" t="str">
        <f t="shared" si="24"/>
        <v/>
      </c>
      <c r="M142" s="19" t="str">
        <f t="shared" si="25"/>
        <v/>
      </c>
      <c r="N142" s="19" t="str">
        <f t="shared" si="26"/>
        <v/>
      </c>
      <c r="O142" s="19" t="str">
        <f t="shared" si="27"/>
        <v/>
      </c>
      <c r="P142" s="19" t="str">
        <f t="shared" si="28"/>
        <v/>
      </c>
      <c r="Q142" s="12">
        <f t="shared" si="29"/>
        <v>2.7777777777776569E-4</v>
      </c>
      <c r="R142" s="39">
        <f t="shared" si="30"/>
        <v>0.4</v>
      </c>
      <c r="S142" s="78" t="s">
        <v>43</v>
      </c>
      <c r="T142" s="20"/>
      <c r="V142" s="12">
        <f t="shared" si="19"/>
        <v>2.7777777777776569E-4</v>
      </c>
      <c r="W142" s="22">
        <f t="shared" si="17"/>
        <v>24</v>
      </c>
    </row>
    <row r="143" spans="1:23" x14ac:dyDescent="0.25">
      <c r="A143" s="67">
        <v>128</v>
      </c>
      <c r="B143" s="49"/>
      <c r="C143" s="49"/>
      <c r="D143" s="49"/>
      <c r="E143" s="67">
        <v>4</v>
      </c>
      <c r="F143" s="67">
        <v>82135</v>
      </c>
      <c r="G143" s="12">
        <f t="shared" si="18"/>
        <v>0.34832175925925929</v>
      </c>
      <c r="H143" s="19" t="str">
        <f t="shared" si="20"/>
        <v/>
      </c>
      <c r="I143" s="19" t="str">
        <f t="shared" si="21"/>
        <v/>
      </c>
      <c r="J143" s="19" t="str">
        <f t="shared" si="22"/>
        <v/>
      </c>
      <c r="K143" s="19">
        <f t="shared" si="23"/>
        <v>3.5879629629631538E-4</v>
      </c>
      <c r="L143" s="19" t="str">
        <f t="shared" si="24"/>
        <v/>
      </c>
      <c r="M143" s="19" t="str">
        <f t="shared" si="25"/>
        <v/>
      </c>
      <c r="N143" s="19" t="str">
        <f t="shared" si="26"/>
        <v/>
      </c>
      <c r="O143" s="19" t="str">
        <f t="shared" si="27"/>
        <v/>
      </c>
      <c r="P143" s="19" t="str">
        <f t="shared" si="28"/>
        <v/>
      </c>
      <c r="Q143" s="12">
        <f t="shared" si="29"/>
        <v>3.5879629629631538E-4</v>
      </c>
      <c r="R143" s="39" t="str">
        <f t="shared" si="30"/>
        <v/>
      </c>
      <c r="S143" s="78"/>
      <c r="T143" s="20"/>
      <c r="V143" s="12" t="str">
        <f t="shared" si="19"/>
        <v/>
      </c>
      <c r="W143" s="22" t="str">
        <f t="shared" ref="W143:W180" si="31">_xlfn.IFS(V143="","",SECOND(V143)&lt;10,"",  (HOUR(V143)*3600+MINUTE(V143)*60+SECOND(V143))&gt;60,"", (HOUR(V143)*3600+MINUTE(V143)*60+SECOND(V143))&lt;60, HOUR(V143)*3600+MINUTE(V143)*60+SECOND(V143))</f>
        <v/>
      </c>
    </row>
    <row r="144" spans="1:23" x14ac:dyDescent="0.25">
      <c r="A144" s="67">
        <v>129</v>
      </c>
      <c r="B144" s="49">
        <v>5</v>
      </c>
      <c r="C144" s="49"/>
      <c r="D144" s="49">
        <v>6</v>
      </c>
      <c r="E144" s="67">
        <v>7</v>
      </c>
      <c r="F144" s="67">
        <v>82208</v>
      </c>
      <c r="G144" s="12">
        <f t="shared" si="18"/>
        <v>0.34870370370370374</v>
      </c>
      <c r="H144" s="19" t="str">
        <f t="shared" si="20"/>
        <v/>
      </c>
      <c r="I144" s="19" t="str">
        <f t="shared" si="21"/>
        <v/>
      </c>
      <c r="J144" s="19" t="str">
        <f t="shared" si="22"/>
        <v/>
      </c>
      <c r="K144" s="19" t="str">
        <f t="shared" si="23"/>
        <v/>
      </c>
      <c r="L144" s="19" t="str">
        <f t="shared" si="24"/>
        <v/>
      </c>
      <c r="M144" s="19" t="str">
        <f t="shared" si="25"/>
        <v/>
      </c>
      <c r="N144" s="19">
        <f t="shared" si="26"/>
        <v>3.8194444444444864E-4</v>
      </c>
      <c r="O144" s="19" t="str">
        <f t="shared" si="27"/>
        <v/>
      </c>
      <c r="P144" s="19" t="str">
        <f t="shared" si="28"/>
        <v/>
      </c>
      <c r="Q144" s="12">
        <f t="shared" si="29"/>
        <v>3.8194444444444864E-4</v>
      </c>
      <c r="R144" s="39" t="str">
        <f t="shared" si="30"/>
        <v/>
      </c>
      <c r="S144" s="78"/>
      <c r="T144" s="20"/>
      <c r="V144" s="12" t="str">
        <f t="shared" si="19"/>
        <v/>
      </c>
      <c r="W144" s="22" t="str">
        <f t="shared" si="31"/>
        <v/>
      </c>
    </row>
    <row r="145" spans="1:25" x14ac:dyDescent="0.25">
      <c r="A145" s="67">
        <v>130</v>
      </c>
      <c r="B145" s="49"/>
      <c r="C145" s="49"/>
      <c r="D145" s="49"/>
      <c r="E145" s="67">
        <v>1</v>
      </c>
      <c r="F145" s="67">
        <v>82214</v>
      </c>
      <c r="G145" s="12">
        <f t="shared" si="18"/>
        <v>0.34877314814814814</v>
      </c>
      <c r="H145" s="19">
        <f t="shared" si="20"/>
        <v>6.9444444444399789E-5</v>
      </c>
      <c r="I145" s="19" t="str">
        <f t="shared" si="21"/>
        <v/>
      </c>
      <c r="J145" s="19" t="str">
        <f t="shared" si="22"/>
        <v/>
      </c>
      <c r="K145" s="19" t="str">
        <f t="shared" si="23"/>
        <v/>
      </c>
      <c r="L145" s="19" t="str">
        <f t="shared" si="24"/>
        <v/>
      </c>
      <c r="M145" s="19" t="str">
        <f t="shared" si="25"/>
        <v/>
      </c>
      <c r="N145" s="19" t="str">
        <f t="shared" si="26"/>
        <v/>
      </c>
      <c r="O145" s="19" t="str">
        <f t="shared" si="27"/>
        <v/>
      </c>
      <c r="P145" s="19" t="str">
        <f t="shared" si="28"/>
        <v/>
      </c>
      <c r="Q145" s="12">
        <f t="shared" si="29"/>
        <v>6.9444444444399789E-5</v>
      </c>
      <c r="R145" s="39">
        <f t="shared" si="30"/>
        <v>0.1</v>
      </c>
      <c r="S145" s="78"/>
      <c r="T145" s="20"/>
      <c r="V145" s="12">
        <f t="shared" ref="V145:V208" si="32">H145</f>
        <v>6.9444444444399789E-5</v>
      </c>
      <c r="W145" s="22" t="str">
        <f t="shared" si="31"/>
        <v/>
      </c>
    </row>
    <row r="146" spans="1:25" x14ac:dyDescent="0.25">
      <c r="A146" s="67">
        <v>131</v>
      </c>
      <c r="B146" s="49"/>
      <c r="C146" s="49"/>
      <c r="D146" s="49"/>
      <c r="E146" s="67">
        <v>1</v>
      </c>
      <c r="F146" s="67">
        <v>82239</v>
      </c>
      <c r="G146" s="12">
        <f t="shared" ref="G146:G277" si="33">IF(LEN(F146)=5,TIMEVALUE(LEFT(F146,1)&amp;":"&amp;MID(F146,2,2)&amp;":"&amp;RIGHT(F146,2)),IF(LEN(F146)=6,TIMEVALUE(LEFT(F146,2)&amp;":"&amp;MID(F146,3,2)&amp;":"&amp;RIGHT(F146,2)),""))</f>
        <v>0.3490625</v>
      </c>
      <c r="H146" s="19">
        <f t="shared" ref="H146:H209" si="34">IFERROR(IF(E146=1,Q146,""),"")</f>
        <v>2.8935185185186008E-4</v>
      </c>
      <c r="I146" s="19" t="str">
        <f t="shared" ref="I146:I209" si="35">IFERROR(IF(E146=2,Q146,""),"")</f>
        <v/>
      </c>
      <c r="J146" s="19" t="str">
        <f t="shared" ref="J146:J209" si="36">IFERROR(IF(E146=3,Q146,""),"")</f>
        <v/>
      </c>
      <c r="K146" s="19" t="str">
        <f t="shared" ref="K146:K209" si="37">IFERROR(IF(E146=4,Q146,""),"")</f>
        <v/>
      </c>
      <c r="L146" s="19" t="str">
        <f t="shared" ref="L146:L209" si="38">IFERROR(IF(E146=5,Q146,""),"")</f>
        <v/>
      </c>
      <c r="M146" s="19" t="str">
        <f t="shared" ref="M146:M209" si="39">IFERROR(IF(E146=6,Q146,""),"")</f>
        <v/>
      </c>
      <c r="N146" s="19" t="str">
        <f t="shared" ref="N146:N209" si="40">IFERROR(IF(E146=7,Q146,""),"")</f>
        <v/>
      </c>
      <c r="O146" s="19" t="str">
        <f t="shared" ref="O146:O209" si="41">IFERROR(IF(E146=8,Q146,""),"")</f>
        <v/>
      </c>
      <c r="P146" s="19" t="str">
        <f t="shared" ref="P146:P209" si="42">IFERROR(IF(E146=9,Q146,""),"")</f>
        <v/>
      </c>
      <c r="Q146" s="12">
        <f t="shared" si="29"/>
        <v>2.8935185185186008E-4</v>
      </c>
      <c r="R146" s="39">
        <f t="shared" si="30"/>
        <v>0.41666666666666669</v>
      </c>
      <c r="S146" s="78"/>
      <c r="T146" s="20"/>
      <c r="V146" s="12">
        <f t="shared" si="32"/>
        <v>2.8935185185186008E-4</v>
      </c>
      <c r="W146" s="22">
        <f t="shared" si="31"/>
        <v>25</v>
      </c>
    </row>
    <row r="147" spans="1:25" x14ac:dyDescent="0.25">
      <c r="A147" s="67">
        <v>132</v>
      </c>
      <c r="B147" s="49"/>
      <c r="C147" s="49"/>
      <c r="D147" s="49"/>
      <c r="E147" s="67">
        <v>1</v>
      </c>
      <c r="F147" s="67">
        <v>82302</v>
      </c>
      <c r="G147" s="12">
        <f t="shared" si="33"/>
        <v>0.34932870370370367</v>
      </c>
      <c r="H147" s="19">
        <f t="shared" si="34"/>
        <v>2.662037037036713E-4</v>
      </c>
      <c r="I147" s="19" t="str">
        <f t="shared" si="35"/>
        <v/>
      </c>
      <c r="J147" s="19" t="str">
        <f t="shared" si="36"/>
        <v/>
      </c>
      <c r="K147" s="19" t="str">
        <f t="shared" si="37"/>
        <v/>
      </c>
      <c r="L147" s="19" t="str">
        <f t="shared" si="38"/>
        <v/>
      </c>
      <c r="M147" s="19" t="str">
        <f t="shared" si="39"/>
        <v/>
      </c>
      <c r="N147" s="19" t="str">
        <f t="shared" si="40"/>
        <v/>
      </c>
      <c r="O147" s="19" t="str">
        <f t="shared" si="41"/>
        <v/>
      </c>
      <c r="P147" s="19" t="str">
        <f t="shared" si="42"/>
        <v/>
      </c>
      <c r="Q147" s="12">
        <f t="shared" ref="Q147:Q210" si="43">G147-G146</f>
        <v>2.662037037036713E-4</v>
      </c>
      <c r="R147" s="39">
        <f t="shared" si="30"/>
        <v>0.38333333333333336</v>
      </c>
      <c r="S147" s="78"/>
      <c r="T147" s="20"/>
      <c r="V147" s="12">
        <f t="shared" si="32"/>
        <v>2.662037037036713E-4</v>
      </c>
      <c r="W147" s="22">
        <f t="shared" si="31"/>
        <v>23</v>
      </c>
    </row>
    <row r="148" spans="1:25" x14ac:dyDescent="0.25">
      <c r="A148" s="67">
        <v>133</v>
      </c>
      <c r="B148" s="49"/>
      <c r="C148" s="49"/>
      <c r="D148" s="49"/>
      <c r="E148" s="67">
        <v>1</v>
      </c>
      <c r="F148" s="67">
        <v>82328</v>
      </c>
      <c r="G148" s="12">
        <f t="shared" si="33"/>
        <v>0.34962962962962968</v>
      </c>
      <c r="H148" s="19">
        <f t="shared" si="34"/>
        <v>3.0092592592600997E-4</v>
      </c>
      <c r="I148" s="19" t="str">
        <f t="shared" si="35"/>
        <v/>
      </c>
      <c r="J148" s="19" t="str">
        <f t="shared" si="36"/>
        <v/>
      </c>
      <c r="K148" s="19" t="str">
        <f t="shared" si="37"/>
        <v/>
      </c>
      <c r="L148" s="19" t="str">
        <f t="shared" si="38"/>
        <v/>
      </c>
      <c r="M148" s="19" t="str">
        <f t="shared" si="39"/>
        <v/>
      </c>
      <c r="N148" s="19" t="str">
        <f t="shared" si="40"/>
        <v/>
      </c>
      <c r="O148" s="19" t="str">
        <f t="shared" si="41"/>
        <v/>
      </c>
      <c r="P148" s="19" t="str">
        <f t="shared" si="42"/>
        <v/>
      </c>
      <c r="Q148" s="12">
        <f t="shared" si="43"/>
        <v>3.0092592592600997E-4</v>
      </c>
      <c r="R148" s="39">
        <f t="shared" ref="R148:R211" si="44">IF(H148="","",HOUR(H148)*60+MINUTE(H148)+SECOND(H148)/60)</f>
        <v>0.43333333333333335</v>
      </c>
      <c r="S148" s="78"/>
      <c r="T148" s="20"/>
      <c r="V148" s="12">
        <f t="shared" si="32"/>
        <v>3.0092592592600997E-4</v>
      </c>
      <c r="W148" s="22">
        <f t="shared" si="31"/>
        <v>26</v>
      </c>
    </row>
    <row r="149" spans="1:25" x14ac:dyDescent="0.25">
      <c r="A149" s="67">
        <v>134</v>
      </c>
      <c r="B149" s="49"/>
      <c r="C149" s="49"/>
      <c r="D149" s="49"/>
      <c r="E149" s="67">
        <v>1</v>
      </c>
      <c r="F149" s="67">
        <v>82352</v>
      </c>
      <c r="G149" s="12">
        <f t="shared" si="33"/>
        <v>0.34990740740740739</v>
      </c>
      <c r="H149" s="19">
        <f t="shared" si="34"/>
        <v>2.7777777777771018E-4</v>
      </c>
      <c r="I149" s="19" t="str">
        <f t="shared" si="35"/>
        <v/>
      </c>
      <c r="J149" s="19" t="str">
        <f t="shared" si="36"/>
        <v/>
      </c>
      <c r="K149" s="19" t="str">
        <f t="shared" si="37"/>
        <v/>
      </c>
      <c r="L149" s="19" t="str">
        <f t="shared" si="38"/>
        <v/>
      </c>
      <c r="M149" s="19" t="str">
        <f t="shared" si="39"/>
        <v/>
      </c>
      <c r="N149" s="19" t="str">
        <f t="shared" si="40"/>
        <v/>
      </c>
      <c r="O149" s="19" t="str">
        <f t="shared" si="41"/>
        <v/>
      </c>
      <c r="P149" s="19" t="str">
        <f t="shared" si="42"/>
        <v/>
      </c>
      <c r="Q149" s="12">
        <f t="shared" si="43"/>
        <v>2.7777777777771018E-4</v>
      </c>
      <c r="R149" s="39">
        <f t="shared" si="44"/>
        <v>0.4</v>
      </c>
      <c r="S149" s="78"/>
      <c r="T149" s="20"/>
      <c r="V149" s="12">
        <f t="shared" si="32"/>
        <v>2.7777777777771018E-4</v>
      </c>
      <c r="W149" s="22">
        <f t="shared" si="31"/>
        <v>24</v>
      </c>
    </row>
    <row r="150" spans="1:25" x14ac:dyDescent="0.25">
      <c r="A150" s="67">
        <v>135</v>
      </c>
      <c r="B150" s="49"/>
      <c r="C150" s="49"/>
      <c r="D150" s="49"/>
      <c r="E150" s="67">
        <v>1</v>
      </c>
      <c r="F150" s="67">
        <v>82413</v>
      </c>
      <c r="G150" s="12">
        <f t="shared" si="33"/>
        <v>0.35015046296296298</v>
      </c>
      <c r="H150" s="19">
        <f t="shared" si="34"/>
        <v>2.4305555555559355E-4</v>
      </c>
      <c r="I150" s="19" t="str">
        <f t="shared" si="35"/>
        <v/>
      </c>
      <c r="J150" s="19" t="str">
        <f t="shared" si="36"/>
        <v/>
      </c>
      <c r="K150" s="19" t="str">
        <f t="shared" si="37"/>
        <v/>
      </c>
      <c r="L150" s="19" t="str">
        <f t="shared" si="38"/>
        <v/>
      </c>
      <c r="M150" s="19" t="str">
        <f t="shared" si="39"/>
        <v/>
      </c>
      <c r="N150" s="19" t="str">
        <f t="shared" si="40"/>
        <v/>
      </c>
      <c r="O150" s="19" t="str">
        <f t="shared" si="41"/>
        <v/>
      </c>
      <c r="P150" s="19" t="str">
        <f t="shared" si="42"/>
        <v/>
      </c>
      <c r="Q150" s="12">
        <f t="shared" si="43"/>
        <v>2.4305555555559355E-4</v>
      </c>
      <c r="R150" s="39">
        <f t="shared" si="44"/>
        <v>0.35</v>
      </c>
      <c r="S150" s="78" t="s">
        <v>51</v>
      </c>
      <c r="T150" s="20"/>
      <c r="V150" s="12">
        <f t="shared" si="32"/>
        <v>2.4305555555559355E-4</v>
      </c>
      <c r="W150" s="22">
        <f t="shared" si="31"/>
        <v>21</v>
      </c>
    </row>
    <row r="151" spans="1:25" x14ac:dyDescent="0.25">
      <c r="A151" s="67">
        <v>136</v>
      </c>
      <c r="B151" s="49"/>
      <c r="C151" s="49"/>
      <c r="D151" s="50"/>
      <c r="E151" s="67">
        <v>4</v>
      </c>
      <c r="F151" s="67">
        <v>82504</v>
      </c>
      <c r="G151" s="12">
        <f t="shared" si="33"/>
        <v>0.35074074074074074</v>
      </c>
      <c r="H151" s="19" t="str">
        <f t="shared" si="34"/>
        <v/>
      </c>
      <c r="I151" s="19" t="str">
        <f t="shared" si="35"/>
        <v/>
      </c>
      <c r="J151" s="19" t="str">
        <f t="shared" si="36"/>
        <v/>
      </c>
      <c r="K151" s="19">
        <f t="shared" si="37"/>
        <v>5.9027777777775903E-4</v>
      </c>
      <c r="L151" s="19" t="str">
        <f t="shared" si="38"/>
        <v/>
      </c>
      <c r="M151" s="19" t="str">
        <f t="shared" si="39"/>
        <v/>
      </c>
      <c r="N151" s="19" t="str">
        <f t="shared" si="40"/>
        <v/>
      </c>
      <c r="O151" s="19" t="str">
        <f t="shared" si="41"/>
        <v/>
      </c>
      <c r="P151" s="19" t="str">
        <f t="shared" si="42"/>
        <v/>
      </c>
      <c r="Q151" s="12">
        <f t="shared" si="43"/>
        <v>5.9027777777775903E-4</v>
      </c>
      <c r="R151" s="39" t="str">
        <f t="shared" si="44"/>
        <v/>
      </c>
      <c r="S151" s="78"/>
      <c r="T151" s="20"/>
      <c r="V151" s="12" t="str">
        <f t="shared" si="32"/>
        <v/>
      </c>
      <c r="W151" s="22" t="str">
        <f t="shared" si="31"/>
        <v/>
      </c>
    </row>
    <row r="152" spans="1:25" x14ac:dyDescent="0.25">
      <c r="A152" s="67">
        <v>137</v>
      </c>
      <c r="B152" s="67">
        <v>10</v>
      </c>
      <c r="C152" s="50"/>
      <c r="D152" s="50">
        <v>5</v>
      </c>
      <c r="E152" s="67">
        <v>7</v>
      </c>
      <c r="F152" s="67">
        <v>82524</v>
      </c>
      <c r="G152" s="12">
        <f t="shared" si="33"/>
        <v>0.35097222222222224</v>
      </c>
      <c r="H152" s="19" t="str">
        <f t="shared" si="34"/>
        <v/>
      </c>
      <c r="I152" s="19" t="str">
        <f t="shared" si="35"/>
        <v/>
      </c>
      <c r="J152" s="19" t="str">
        <f t="shared" si="36"/>
        <v/>
      </c>
      <c r="K152" s="19" t="str">
        <f t="shared" si="37"/>
        <v/>
      </c>
      <c r="L152" s="19" t="str">
        <f t="shared" si="38"/>
        <v/>
      </c>
      <c r="M152" s="19" t="str">
        <f t="shared" si="39"/>
        <v/>
      </c>
      <c r="N152" s="19">
        <f t="shared" si="40"/>
        <v>2.3148148148149916E-4</v>
      </c>
      <c r="O152" s="19" t="str">
        <f t="shared" si="41"/>
        <v/>
      </c>
      <c r="P152" s="19" t="str">
        <f t="shared" si="42"/>
        <v/>
      </c>
      <c r="Q152" s="12">
        <f t="shared" si="43"/>
        <v>2.3148148148149916E-4</v>
      </c>
      <c r="R152" s="39" t="str">
        <f t="shared" si="44"/>
        <v/>
      </c>
      <c r="S152" s="78"/>
      <c r="T152" s="20"/>
      <c r="V152" s="12" t="str">
        <f t="shared" si="32"/>
        <v/>
      </c>
      <c r="W152" s="22" t="str">
        <f t="shared" si="31"/>
        <v/>
      </c>
    </row>
    <row r="153" spans="1:25" x14ac:dyDescent="0.25">
      <c r="A153" s="67">
        <v>138</v>
      </c>
      <c r="B153" s="67"/>
      <c r="C153" s="50"/>
      <c r="D153" s="49"/>
      <c r="E153" s="67">
        <v>1</v>
      </c>
      <c r="F153" s="67">
        <v>82530</v>
      </c>
      <c r="G153" s="12">
        <f t="shared" si="33"/>
        <v>0.3510416666666667</v>
      </c>
      <c r="H153" s="19">
        <f t="shared" si="34"/>
        <v>6.94444444444553E-5</v>
      </c>
      <c r="I153" s="19" t="str">
        <f t="shared" si="35"/>
        <v/>
      </c>
      <c r="J153" s="19" t="str">
        <f t="shared" si="36"/>
        <v/>
      </c>
      <c r="K153" s="19" t="str">
        <f t="shared" si="37"/>
        <v/>
      </c>
      <c r="L153" s="19" t="str">
        <f t="shared" si="38"/>
        <v/>
      </c>
      <c r="M153" s="19" t="str">
        <f t="shared" si="39"/>
        <v/>
      </c>
      <c r="N153" s="19" t="str">
        <f t="shared" si="40"/>
        <v/>
      </c>
      <c r="O153" s="19" t="str">
        <f t="shared" si="41"/>
        <v/>
      </c>
      <c r="P153" s="19" t="str">
        <f t="shared" si="42"/>
        <v/>
      </c>
      <c r="Q153" s="12">
        <f t="shared" si="43"/>
        <v>6.94444444444553E-5</v>
      </c>
      <c r="R153" s="39">
        <f t="shared" si="44"/>
        <v>0.1</v>
      </c>
      <c r="S153" s="78"/>
      <c r="T153" s="20"/>
      <c r="V153" s="12">
        <f t="shared" si="32"/>
        <v>6.94444444444553E-5</v>
      </c>
      <c r="W153" s="22" t="str">
        <f t="shared" si="31"/>
        <v/>
      </c>
    </row>
    <row r="154" spans="1:25" x14ac:dyDescent="0.25">
      <c r="A154" s="67">
        <v>139</v>
      </c>
      <c r="B154" s="49"/>
      <c r="C154" s="49"/>
      <c r="D154" s="49"/>
      <c r="E154" s="67">
        <v>1</v>
      </c>
      <c r="F154" s="67">
        <v>82624</v>
      </c>
      <c r="G154" s="12">
        <f t="shared" si="33"/>
        <v>0.35166666666666663</v>
      </c>
      <c r="H154" s="19">
        <f t="shared" si="34"/>
        <v>6.2499999999993117E-4</v>
      </c>
      <c r="I154" s="19" t="str">
        <f t="shared" si="35"/>
        <v/>
      </c>
      <c r="J154" s="19" t="str">
        <f t="shared" si="36"/>
        <v/>
      </c>
      <c r="K154" s="19" t="str">
        <f t="shared" si="37"/>
        <v/>
      </c>
      <c r="L154" s="19" t="str">
        <f t="shared" si="38"/>
        <v/>
      </c>
      <c r="M154" s="19" t="str">
        <f t="shared" si="39"/>
        <v/>
      </c>
      <c r="N154" s="19" t="str">
        <f t="shared" si="40"/>
        <v/>
      </c>
      <c r="O154" s="19" t="str">
        <f t="shared" si="41"/>
        <v/>
      </c>
      <c r="P154" s="19" t="str">
        <f t="shared" si="42"/>
        <v/>
      </c>
      <c r="Q154" s="12">
        <f t="shared" si="43"/>
        <v>6.2499999999993117E-4</v>
      </c>
      <c r="R154" s="39">
        <f t="shared" si="44"/>
        <v>0.9</v>
      </c>
      <c r="S154" s="78"/>
      <c r="T154" s="20"/>
      <c r="V154" s="12">
        <f t="shared" si="32"/>
        <v>6.2499999999993117E-4</v>
      </c>
      <c r="W154" s="22">
        <f t="shared" si="31"/>
        <v>54</v>
      </c>
    </row>
    <row r="155" spans="1:25" x14ac:dyDescent="0.25">
      <c r="A155" s="67">
        <v>140</v>
      </c>
      <c r="B155" s="49"/>
      <c r="C155" s="49"/>
      <c r="D155" s="49"/>
      <c r="E155" s="67">
        <v>1</v>
      </c>
      <c r="F155" s="67">
        <v>82653</v>
      </c>
      <c r="G155" s="12">
        <f t="shared" si="33"/>
        <v>0.35200231481481481</v>
      </c>
      <c r="H155" s="19">
        <f t="shared" si="34"/>
        <v>3.3564814814818211E-4</v>
      </c>
      <c r="I155" s="38" t="str">
        <f t="shared" si="35"/>
        <v/>
      </c>
      <c r="J155" s="19" t="str">
        <f t="shared" si="36"/>
        <v/>
      </c>
      <c r="K155" s="19" t="str">
        <f t="shared" si="37"/>
        <v/>
      </c>
      <c r="L155" s="19" t="str">
        <f t="shared" si="38"/>
        <v/>
      </c>
      <c r="M155" s="19" t="str">
        <f t="shared" si="39"/>
        <v/>
      </c>
      <c r="N155" s="19" t="str">
        <f t="shared" si="40"/>
        <v/>
      </c>
      <c r="O155" s="19" t="str">
        <f t="shared" si="41"/>
        <v/>
      </c>
      <c r="P155" s="19" t="str">
        <f t="shared" si="42"/>
        <v/>
      </c>
      <c r="Q155" s="12">
        <f t="shared" si="43"/>
        <v>3.3564814814818211E-4</v>
      </c>
      <c r="R155" s="39">
        <f t="shared" si="44"/>
        <v>0.48333333333333334</v>
      </c>
      <c r="S155" s="78"/>
      <c r="T155" s="20"/>
      <c r="V155" s="12">
        <f t="shared" si="32"/>
        <v>3.3564814814818211E-4</v>
      </c>
      <c r="W155" s="22">
        <f t="shared" si="31"/>
        <v>29</v>
      </c>
    </row>
    <row r="156" spans="1:25" x14ac:dyDescent="0.25">
      <c r="A156" s="67">
        <v>141</v>
      </c>
      <c r="B156" s="49"/>
      <c r="C156" s="49"/>
      <c r="D156" s="49"/>
      <c r="E156" s="67">
        <v>1</v>
      </c>
      <c r="F156" s="67">
        <v>82718</v>
      </c>
      <c r="G156" s="12">
        <f t="shared" si="33"/>
        <v>0.35229166666666667</v>
      </c>
      <c r="H156" s="19">
        <f t="shared" si="34"/>
        <v>2.8935185185186008E-4</v>
      </c>
      <c r="I156" s="38" t="str">
        <f t="shared" si="35"/>
        <v/>
      </c>
      <c r="J156" s="19" t="str">
        <f t="shared" si="36"/>
        <v/>
      </c>
      <c r="K156" s="19" t="str">
        <f t="shared" si="37"/>
        <v/>
      </c>
      <c r="L156" s="19" t="str">
        <f t="shared" si="38"/>
        <v/>
      </c>
      <c r="M156" s="19" t="str">
        <f t="shared" si="39"/>
        <v/>
      </c>
      <c r="N156" s="19" t="str">
        <f t="shared" si="40"/>
        <v/>
      </c>
      <c r="O156" s="19" t="str">
        <f t="shared" si="41"/>
        <v/>
      </c>
      <c r="P156" s="19" t="str">
        <f t="shared" si="42"/>
        <v/>
      </c>
      <c r="Q156" s="12">
        <f t="shared" si="43"/>
        <v>2.8935185185186008E-4</v>
      </c>
      <c r="R156" s="39">
        <f t="shared" si="44"/>
        <v>0.41666666666666669</v>
      </c>
      <c r="S156" s="78"/>
      <c r="T156" s="20"/>
      <c r="V156" s="12">
        <f t="shared" si="32"/>
        <v>2.8935185185186008E-4</v>
      </c>
      <c r="W156" s="22">
        <f t="shared" si="31"/>
        <v>25</v>
      </c>
    </row>
    <row r="157" spans="1:25" x14ac:dyDescent="0.25">
      <c r="A157" s="67">
        <v>142</v>
      </c>
      <c r="B157" s="49"/>
      <c r="C157" s="49"/>
      <c r="D157" s="49"/>
      <c r="E157" s="67">
        <v>1</v>
      </c>
      <c r="F157" s="67">
        <v>82743</v>
      </c>
      <c r="G157" s="12">
        <f t="shared" si="33"/>
        <v>0.35258101851851853</v>
      </c>
      <c r="H157" s="19">
        <f t="shared" si="34"/>
        <v>2.8935185185186008E-4</v>
      </c>
      <c r="I157" s="38" t="str">
        <f t="shared" si="35"/>
        <v/>
      </c>
      <c r="J157" s="19" t="str">
        <f t="shared" si="36"/>
        <v/>
      </c>
      <c r="K157" s="19" t="str">
        <f t="shared" si="37"/>
        <v/>
      </c>
      <c r="L157" s="19" t="str">
        <f t="shared" si="38"/>
        <v/>
      </c>
      <c r="M157" s="19" t="str">
        <f t="shared" si="39"/>
        <v/>
      </c>
      <c r="N157" s="19" t="str">
        <f t="shared" si="40"/>
        <v/>
      </c>
      <c r="O157" s="19" t="str">
        <f t="shared" si="41"/>
        <v/>
      </c>
      <c r="P157" s="19" t="str">
        <f t="shared" si="42"/>
        <v/>
      </c>
      <c r="Q157" s="12">
        <f t="shared" si="43"/>
        <v>2.8935185185186008E-4</v>
      </c>
      <c r="R157" s="39">
        <f t="shared" si="44"/>
        <v>0.41666666666666669</v>
      </c>
      <c r="S157" s="78" t="s">
        <v>52</v>
      </c>
      <c r="T157" s="20"/>
      <c r="V157" s="12">
        <f t="shared" si="32"/>
        <v>2.8935185185186008E-4</v>
      </c>
      <c r="W157" s="22">
        <f t="shared" si="31"/>
        <v>25</v>
      </c>
    </row>
    <row r="158" spans="1:25" x14ac:dyDescent="0.25">
      <c r="A158" s="67">
        <v>143</v>
      </c>
      <c r="B158" s="49"/>
      <c r="C158" s="49"/>
      <c r="D158" s="49"/>
      <c r="E158" s="67">
        <v>4</v>
      </c>
      <c r="F158" s="67">
        <v>82818</v>
      </c>
      <c r="G158" s="12">
        <f t="shared" si="33"/>
        <v>0.35298611111111117</v>
      </c>
      <c r="H158" s="19" t="str">
        <f t="shared" si="34"/>
        <v/>
      </c>
      <c r="I158" s="38" t="str">
        <f t="shared" si="35"/>
        <v/>
      </c>
      <c r="J158" s="19" t="str">
        <f t="shared" si="36"/>
        <v/>
      </c>
      <c r="K158" s="19">
        <f t="shared" si="37"/>
        <v>4.0509259259263741E-4</v>
      </c>
      <c r="L158" s="19" t="str">
        <f t="shared" si="38"/>
        <v/>
      </c>
      <c r="M158" s="19" t="str">
        <f t="shared" si="39"/>
        <v/>
      </c>
      <c r="N158" s="19" t="str">
        <f t="shared" si="40"/>
        <v/>
      </c>
      <c r="O158" s="19" t="str">
        <f t="shared" si="41"/>
        <v/>
      </c>
      <c r="P158" s="19" t="str">
        <f t="shared" si="42"/>
        <v/>
      </c>
      <c r="Q158" s="12">
        <f t="shared" si="43"/>
        <v>4.0509259259263741E-4</v>
      </c>
      <c r="R158" s="39" t="str">
        <f t="shared" si="44"/>
        <v/>
      </c>
      <c r="S158" s="39"/>
      <c r="V158" s="12" t="str">
        <f t="shared" si="32"/>
        <v/>
      </c>
      <c r="W158" s="22" t="str">
        <f t="shared" si="31"/>
        <v/>
      </c>
    </row>
    <row r="159" spans="1:25" ht="13" x14ac:dyDescent="0.3">
      <c r="A159" s="67">
        <v>144</v>
      </c>
      <c r="B159" s="49">
        <v>12</v>
      </c>
      <c r="C159" s="49"/>
      <c r="D159" s="49">
        <v>5</v>
      </c>
      <c r="E159" s="67">
        <v>7</v>
      </c>
      <c r="F159" s="67">
        <v>82841</v>
      </c>
      <c r="G159" s="12">
        <f t="shared" si="33"/>
        <v>0.35325231481481478</v>
      </c>
      <c r="H159" s="19" t="str">
        <f t="shared" si="34"/>
        <v/>
      </c>
      <c r="I159" s="38" t="str">
        <f t="shared" si="35"/>
        <v/>
      </c>
      <c r="J159" s="19" t="str">
        <f t="shared" si="36"/>
        <v/>
      </c>
      <c r="K159" s="19" t="str">
        <f t="shared" si="37"/>
        <v/>
      </c>
      <c r="L159" s="19" t="str">
        <f t="shared" si="38"/>
        <v/>
      </c>
      <c r="M159" s="19" t="str">
        <f t="shared" si="39"/>
        <v/>
      </c>
      <c r="N159" s="19">
        <f t="shared" si="40"/>
        <v>2.6620370370361579E-4</v>
      </c>
      <c r="O159" s="19" t="str">
        <f t="shared" si="41"/>
        <v/>
      </c>
      <c r="P159" s="19" t="str">
        <f t="shared" si="42"/>
        <v/>
      </c>
      <c r="Q159" s="12">
        <f t="shared" si="43"/>
        <v>2.6620370370361579E-4</v>
      </c>
      <c r="R159" s="39" t="str">
        <f t="shared" si="44"/>
        <v/>
      </c>
      <c r="S159" s="39"/>
      <c r="V159" s="12" t="str">
        <f t="shared" si="32"/>
        <v/>
      </c>
      <c r="W159" s="22" t="str">
        <f t="shared" si="31"/>
        <v/>
      </c>
      <c r="X159" s="73"/>
      <c r="Y159" s="73"/>
    </row>
    <row r="160" spans="1:25" x14ac:dyDescent="0.25">
      <c r="A160" s="67">
        <v>145</v>
      </c>
      <c r="B160" s="49"/>
      <c r="C160" s="49"/>
      <c r="D160" s="49"/>
      <c r="E160" s="67">
        <v>1</v>
      </c>
      <c r="F160" s="67">
        <v>83021</v>
      </c>
      <c r="G160" s="12">
        <f t="shared" si="33"/>
        <v>0.35440972222222222</v>
      </c>
      <c r="H160" s="19">
        <f t="shared" si="34"/>
        <v>1.1574074074074403E-3</v>
      </c>
      <c r="I160" s="38" t="str">
        <f t="shared" si="35"/>
        <v/>
      </c>
      <c r="J160" s="19" t="str">
        <f t="shared" si="36"/>
        <v/>
      </c>
      <c r="K160" s="19" t="str">
        <f t="shared" si="37"/>
        <v/>
      </c>
      <c r="L160" s="19" t="str">
        <f t="shared" si="38"/>
        <v/>
      </c>
      <c r="M160" s="19" t="str">
        <f t="shared" si="39"/>
        <v/>
      </c>
      <c r="N160" s="19" t="str">
        <f t="shared" si="40"/>
        <v/>
      </c>
      <c r="O160" s="19" t="str">
        <f t="shared" si="41"/>
        <v/>
      </c>
      <c r="P160" s="19" t="str">
        <f t="shared" si="42"/>
        <v/>
      </c>
      <c r="Q160" s="12">
        <f t="shared" si="43"/>
        <v>1.1574074074074403E-3</v>
      </c>
      <c r="R160" s="39">
        <f t="shared" si="44"/>
        <v>1.6666666666666665</v>
      </c>
      <c r="S160" s="39">
        <f>R160</f>
        <v>1.6666666666666665</v>
      </c>
      <c r="V160" s="12">
        <f t="shared" si="32"/>
        <v>1.1574074074074403E-3</v>
      </c>
      <c r="W160" s="22" t="str">
        <f t="shared" si="31"/>
        <v/>
      </c>
    </row>
    <row r="161" spans="1:23" x14ac:dyDescent="0.25">
      <c r="A161" s="67">
        <v>146</v>
      </c>
      <c r="B161" s="49"/>
      <c r="C161" s="49"/>
      <c r="D161" s="49"/>
      <c r="E161" s="67">
        <v>3</v>
      </c>
      <c r="F161" s="67">
        <v>83108</v>
      </c>
      <c r="G161" s="12">
        <f t="shared" si="33"/>
        <v>0.35495370370370366</v>
      </c>
      <c r="H161" s="19" t="str">
        <f t="shared" si="34"/>
        <v/>
      </c>
      <c r="I161" s="38" t="str">
        <f t="shared" si="35"/>
        <v/>
      </c>
      <c r="J161" s="19">
        <f t="shared" si="36"/>
        <v>5.4398148148143699E-4</v>
      </c>
      <c r="K161" s="19" t="str">
        <f t="shared" si="37"/>
        <v/>
      </c>
      <c r="L161" s="19" t="str">
        <f t="shared" si="38"/>
        <v/>
      </c>
      <c r="M161" s="19" t="str">
        <f t="shared" si="39"/>
        <v/>
      </c>
      <c r="N161" s="19" t="str">
        <f t="shared" si="40"/>
        <v/>
      </c>
      <c r="O161" s="19" t="str">
        <f t="shared" si="41"/>
        <v/>
      </c>
      <c r="P161" s="19" t="str">
        <f t="shared" si="42"/>
        <v/>
      </c>
      <c r="Q161" s="12">
        <f t="shared" si="43"/>
        <v>5.4398148148143699E-4</v>
      </c>
      <c r="R161" s="39" t="str">
        <f t="shared" si="44"/>
        <v/>
      </c>
      <c r="S161" s="39" t="str">
        <f t="shared" ref="S161:S224" si="45">R161</f>
        <v/>
      </c>
      <c r="V161" s="12" t="str">
        <f t="shared" si="32"/>
        <v/>
      </c>
      <c r="W161" s="22" t="str">
        <f t="shared" si="31"/>
        <v/>
      </c>
    </row>
    <row r="162" spans="1:23" x14ac:dyDescent="0.25">
      <c r="A162" s="67">
        <v>147</v>
      </c>
      <c r="B162" s="49"/>
      <c r="C162" s="49"/>
      <c r="D162" s="49"/>
      <c r="E162" s="67">
        <v>6</v>
      </c>
      <c r="F162" s="67">
        <v>83206</v>
      </c>
      <c r="G162" s="12">
        <f t="shared" si="33"/>
        <v>0.35562500000000002</v>
      </c>
      <c r="H162" s="19" t="str">
        <f t="shared" si="34"/>
        <v/>
      </c>
      <c r="I162" s="38" t="str">
        <f t="shared" si="35"/>
        <v/>
      </c>
      <c r="J162" s="19" t="str">
        <f t="shared" si="36"/>
        <v/>
      </c>
      <c r="K162" s="19" t="str">
        <f t="shared" si="37"/>
        <v/>
      </c>
      <c r="L162" s="19" t="str">
        <f t="shared" si="38"/>
        <v/>
      </c>
      <c r="M162" s="19">
        <f t="shared" si="39"/>
        <v>6.7129629629636423E-4</v>
      </c>
      <c r="N162" s="19" t="str">
        <f t="shared" si="40"/>
        <v/>
      </c>
      <c r="O162" s="19" t="str">
        <f t="shared" si="41"/>
        <v/>
      </c>
      <c r="P162" s="19" t="str">
        <f t="shared" si="42"/>
        <v/>
      </c>
      <c r="Q162" s="12">
        <f t="shared" si="43"/>
        <v>6.7129629629636423E-4</v>
      </c>
      <c r="R162" s="39" t="str">
        <f t="shared" si="44"/>
        <v/>
      </c>
      <c r="S162" s="39" t="str">
        <f t="shared" si="45"/>
        <v/>
      </c>
      <c r="V162" s="12" t="str">
        <f t="shared" si="32"/>
        <v/>
      </c>
      <c r="W162" s="22" t="str">
        <f t="shared" si="31"/>
        <v/>
      </c>
    </row>
    <row r="163" spans="1:23" x14ac:dyDescent="0.25">
      <c r="A163" s="67">
        <v>148</v>
      </c>
      <c r="B163" s="49"/>
      <c r="C163" s="49"/>
      <c r="D163" s="49"/>
      <c r="E163" s="67">
        <v>3</v>
      </c>
      <c r="F163" s="67">
        <v>83352</v>
      </c>
      <c r="G163" s="12">
        <f t="shared" si="33"/>
        <v>0.35685185185185181</v>
      </c>
      <c r="H163" s="19" t="str">
        <f t="shared" si="34"/>
        <v/>
      </c>
      <c r="I163" s="38" t="str">
        <f t="shared" si="35"/>
        <v/>
      </c>
      <c r="J163" s="19">
        <f t="shared" si="36"/>
        <v>1.2268518518517846E-3</v>
      </c>
      <c r="K163" s="19" t="str">
        <f t="shared" si="37"/>
        <v/>
      </c>
      <c r="L163" s="19" t="str">
        <f t="shared" si="38"/>
        <v/>
      </c>
      <c r="M163" s="19" t="str">
        <f t="shared" si="39"/>
        <v/>
      </c>
      <c r="N163" s="19" t="str">
        <f t="shared" si="40"/>
        <v/>
      </c>
      <c r="O163" s="19" t="str">
        <f t="shared" si="41"/>
        <v/>
      </c>
      <c r="P163" s="19" t="str">
        <f t="shared" si="42"/>
        <v/>
      </c>
      <c r="Q163" s="12">
        <f t="shared" si="43"/>
        <v>1.2268518518517846E-3</v>
      </c>
      <c r="R163" s="39" t="str">
        <f t="shared" si="44"/>
        <v/>
      </c>
      <c r="S163" s="39" t="str">
        <f t="shared" si="45"/>
        <v/>
      </c>
      <c r="V163" s="12" t="str">
        <f t="shared" si="32"/>
        <v/>
      </c>
      <c r="W163" s="22" t="str">
        <f t="shared" si="31"/>
        <v/>
      </c>
    </row>
    <row r="164" spans="1:23" x14ac:dyDescent="0.25">
      <c r="A164" s="67">
        <v>149</v>
      </c>
      <c r="C164" s="49" t="s">
        <v>37</v>
      </c>
      <c r="E164" s="67">
        <v>8</v>
      </c>
      <c r="F164" s="67">
        <v>83839</v>
      </c>
      <c r="G164" s="12">
        <f t="shared" si="33"/>
        <v>0.36017361111111112</v>
      </c>
      <c r="H164" s="19" t="str">
        <f t="shared" si="34"/>
        <v/>
      </c>
      <c r="I164" s="38" t="str">
        <f t="shared" si="35"/>
        <v/>
      </c>
      <c r="J164" s="19" t="str">
        <f t="shared" si="36"/>
        <v/>
      </c>
      <c r="K164" s="19" t="str">
        <f t="shared" si="37"/>
        <v/>
      </c>
      <c r="L164" s="19" t="str">
        <f t="shared" si="38"/>
        <v/>
      </c>
      <c r="M164" s="19" t="str">
        <f t="shared" si="39"/>
        <v/>
      </c>
      <c r="N164" s="19" t="str">
        <f t="shared" si="40"/>
        <v/>
      </c>
      <c r="O164" s="19">
        <f t="shared" si="41"/>
        <v>3.3217592592593159E-3</v>
      </c>
      <c r="P164" s="19" t="str">
        <f t="shared" si="42"/>
        <v/>
      </c>
      <c r="Q164" s="12">
        <f t="shared" si="43"/>
        <v>3.3217592592593159E-3</v>
      </c>
      <c r="R164" s="39" t="str">
        <f t="shared" si="44"/>
        <v/>
      </c>
      <c r="S164" s="39" t="str">
        <f t="shared" si="45"/>
        <v/>
      </c>
      <c r="V164" s="12" t="str">
        <f t="shared" si="32"/>
        <v/>
      </c>
      <c r="W164" s="22" t="str">
        <f t="shared" si="31"/>
        <v/>
      </c>
    </row>
    <row r="165" spans="1:23" x14ac:dyDescent="0.25">
      <c r="A165" s="67">
        <v>150</v>
      </c>
      <c r="B165" s="67">
        <v>7</v>
      </c>
      <c r="C165" s="50"/>
      <c r="D165" s="50">
        <v>5</v>
      </c>
      <c r="E165" s="67">
        <v>7</v>
      </c>
      <c r="F165" s="67">
        <v>83907</v>
      </c>
      <c r="G165" s="12">
        <f t="shared" si="33"/>
        <v>0.36049768518518516</v>
      </c>
      <c r="H165" s="19" t="str">
        <f t="shared" si="34"/>
        <v/>
      </c>
      <c r="I165" s="19" t="str">
        <f t="shared" si="35"/>
        <v/>
      </c>
      <c r="J165" s="19" t="str">
        <f t="shared" si="36"/>
        <v/>
      </c>
      <c r="K165" s="19" t="str">
        <f t="shared" si="37"/>
        <v/>
      </c>
      <c r="L165" s="19" t="str">
        <f t="shared" si="38"/>
        <v/>
      </c>
      <c r="M165" s="19" t="str">
        <f t="shared" si="39"/>
        <v/>
      </c>
      <c r="N165" s="19">
        <f t="shared" si="40"/>
        <v>3.2407407407403221E-4</v>
      </c>
      <c r="O165" s="19" t="str">
        <f t="shared" si="41"/>
        <v/>
      </c>
      <c r="P165" s="19" t="str">
        <f t="shared" si="42"/>
        <v/>
      </c>
      <c r="Q165" s="12">
        <f t="shared" si="43"/>
        <v>3.2407407407403221E-4</v>
      </c>
      <c r="R165" s="39" t="str">
        <f t="shared" si="44"/>
        <v/>
      </c>
      <c r="S165" s="39" t="str">
        <f t="shared" si="45"/>
        <v/>
      </c>
      <c r="V165" s="12" t="str">
        <f t="shared" si="32"/>
        <v/>
      </c>
      <c r="W165" s="22" t="str">
        <f t="shared" si="31"/>
        <v/>
      </c>
    </row>
    <row r="166" spans="1:23" x14ac:dyDescent="0.25">
      <c r="A166" s="67">
        <v>151</v>
      </c>
      <c r="B166" s="67"/>
      <c r="C166" s="50"/>
      <c r="D166" s="50"/>
      <c r="E166" s="67">
        <v>1</v>
      </c>
      <c r="F166" s="67">
        <v>84057</v>
      </c>
      <c r="G166" s="12">
        <f t="shared" si="33"/>
        <v>0.36177083333333332</v>
      </c>
      <c r="H166" s="19">
        <f t="shared" si="34"/>
        <v>1.2731481481481621E-3</v>
      </c>
      <c r="I166" s="19" t="str">
        <f t="shared" si="35"/>
        <v/>
      </c>
      <c r="J166" s="19" t="str">
        <f t="shared" si="36"/>
        <v/>
      </c>
      <c r="K166" s="19" t="str">
        <f t="shared" si="37"/>
        <v/>
      </c>
      <c r="L166" s="19" t="str">
        <f t="shared" si="38"/>
        <v/>
      </c>
      <c r="M166" s="19" t="str">
        <f t="shared" si="39"/>
        <v/>
      </c>
      <c r="N166" s="19" t="str">
        <f t="shared" si="40"/>
        <v/>
      </c>
      <c r="O166" s="19" t="str">
        <f t="shared" si="41"/>
        <v/>
      </c>
      <c r="P166" s="19" t="str">
        <f t="shared" si="42"/>
        <v/>
      </c>
      <c r="Q166" s="12">
        <f t="shared" si="43"/>
        <v>1.2731481481481621E-3</v>
      </c>
      <c r="R166" s="39">
        <f t="shared" si="44"/>
        <v>1.8333333333333335</v>
      </c>
      <c r="S166" s="39">
        <f t="shared" si="45"/>
        <v>1.8333333333333335</v>
      </c>
      <c r="V166" s="12">
        <f t="shared" si="32"/>
        <v>1.2731481481481621E-3</v>
      </c>
      <c r="W166" s="22" t="str">
        <f t="shared" si="31"/>
        <v/>
      </c>
    </row>
    <row r="167" spans="1:23" x14ac:dyDescent="0.25">
      <c r="A167" s="67">
        <v>152</v>
      </c>
      <c r="B167" s="67"/>
      <c r="C167" s="50"/>
      <c r="D167" s="50"/>
      <c r="E167" s="67">
        <v>4</v>
      </c>
      <c r="F167" s="67">
        <v>84118</v>
      </c>
      <c r="G167" s="12">
        <f t="shared" si="33"/>
        <v>0.36201388888888886</v>
      </c>
      <c r="H167" s="19" t="str">
        <f t="shared" si="34"/>
        <v/>
      </c>
      <c r="I167" s="19" t="str">
        <f t="shared" si="35"/>
        <v/>
      </c>
      <c r="J167" s="19" t="str">
        <f t="shared" si="36"/>
        <v/>
      </c>
      <c r="K167" s="19">
        <f t="shared" si="37"/>
        <v>2.4305555555553804E-4</v>
      </c>
      <c r="L167" s="19" t="str">
        <f t="shared" si="38"/>
        <v/>
      </c>
      <c r="M167" s="19" t="str">
        <f t="shared" si="39"/>
        <v/>
      </c>
      <c r="N167" s="19" t="str">
        <f t="shared" si="40"/>
        <v/>
      </c>
      <c r="O167" s="19" t="str">
        <f t="shared" si="41"/>
        <v/>
      </c>
      <c r="P167" s="19" t="str">
        <f t="shared" si="42"/>
        <v/>
      </c>
      <c r="Q167" s="12">
        <f t="shared" si="43"/>
        <v>2.4305555555553804E-4</v>
      </c>
      <c r="R167" s="39" t="str">
        <f t="shared" si="44"/>
        <v/>
      </c>
      <c r="S167" s="39" t="str">
        <f t="shared" si="45"/>
        <v/>
      </c>
      <c r="V167" s="12" t="str">
        <f t="shared" si="32"/>
        <v/>
      </c>
      <c r="W167" s="22" t="str">
        <f t="shared" si="31"/>
        <v/>
      </c>
    </row>
    <row r="168" spans="1:23" x14ac:dyDescent="0.25">
      <c r="A168" s="67">
        <v>153</v>
      </c>
      <c r="B168" s="50">
        <v>8</v>
      </c>
      <c r="C168" s="50"/>
      <c r="D168" s="50">
        <v>5</v>
      </c>
      <c r="E168" s="67">
        <v>7</v>
      </c>
      <c r="F168" s="67">
        <v>84147</v>
      </c>
      <c r="G168" s="12">
        <f t="shared" si="33"/>
        <v>0.36234953703703704</v>
      </c>
      <c r="H168" s="19" t="str">
        <f t="shared" si="34"/>
        <v/>
      </c>
      <c r="I168" s="19" t="str">
        <f t="shared" si="35"/>
        <v/>
      </c>
      <c r="J168" s="19" t="str">
        <f t="shared" si="36"/>
        <v/>
      </c>
      <c r="K168" s="19" t="str">
        <f t="shared" si="37"/>
        <v/>
      </c>
      <c r="L168" s="19" t="str">
        <f t="shared" si="38"/>
        <v/>
      </c>
      <c r="M168" s="19" t="str">
        <f t="shared" si="39"/>
        <v/>
      </c>
      <c r="N168" s="19">
        <f t="shared" si="40"/>
        <v>3.3564814814818211E-4</v>
      </c>
      <c r="O168" s="19" t="str">
        <f t="shared" si="41"/>
        <v/>
      </c>
      <c r="P168" s="19" t="str">
        <f t="shared" si="42"/>
        <v/>
      </c>
      <c r="Q168" s="12">
        <f t="shared" si="43"/>
        <v>3.3564814814818211E-4</v>
      </c>
      <c r="R168" s="39" t="str">
        <f t="shared" si="44"/>
        <v/>
      </c>
      <c r="S168" s="39" t="str">
        <f t="shared" si="45"/>
        <v/>
      </c>
      <c r="V168" s="12" t="str">
        <f t="shared" si="32"/>
        <v/>
      </c>
      <c r="W168" s="22" t="str">
        <f t="shared" si="31"/>
        <v/>
      </c>
    </row>
    <row r="169" spans="1:23" x14ac:dyDescent="0.25">
      <c r="A169" s="67">
        <v>154</v>
      </c>
      <c r="B169" s="67"/>
      <c r="C169" s="50"/>
      <c r="D169" s="82"/>
      <c r="E169" s="67">
        <v>1</v>
      </c>
      <c r="F169" s="67">
        <v>84330</v>
      </c>
      <c r="G169" s="12">
        <f t="shared" si="33"/>
        <v>0.36354166666666665</v>
      </c>
      <c r="H169" s="19">
        <f t="shared" si="34"/>
        <v>1.1921296296296124E-3</v>
      </c>
      <c r="I169" s="19" t="str">
        <f t="shared" si="35"/>
        <v/>
      </c>
      <c r="J169" s="19" t="str">
        <f t="shared" si="36"/>
        <v/>
      </c>
      <c r="K169" s="19" t="str">
        <f t="shared" si="37"/>
        <v/>
      </c>
      <c r="L169" s="19" t="str">
        <f t="shared" si="38"/>
        <v/>
      </c>
      <c r="M169" s="19" t="str">
        <f t="shared" si="39"/>
        <v/>
      </c>
      <c r="N169" s="19" t="str">
        <f t="shared" si="40"/>
        <v/>
      </c>
      <c r="O169" s="19" t="str">
        <f t="shared" si="41"/>
        <v/>
      </c>
      <c r="P169" s="19" t="str">
        <f t="shared" si="42"/>
        <v/>
      </c>
      <c r="Q169" s="12">
        <f t="shared" si="43"/>
        <v>1.1921296296296124E-3</v>
      </c>
      <c r="R169" s="39">
        <f t="shared" si="44"/>
        <v>1.7166666666666668</v>
      </c>
      <c r="S169" s="39">
        <f t="shared" si="45"/>
        <v>1.7166666666666668</v>
      </c>
      <c r="V169" s="12">
        <f t="shared" si="32"/>
        <v>1.1921296296296124E-3</v>
      </c>
      <c r="W169" s="22" t="str">
        <f t="shared" si="31"/>
        <v/>
      </c>
    </row>
    <row r="170" spans="1:23" x14ac:dyDescent="0.25">
      <c r="A170" s="67">
        <v>155</v>
      </c>
      <c r="B170" s="67"/>
      <c r="C170" s="67"/>
      <c r="D170" s="82"/>
      <c r="E170" s="67">
        <v>4</v>
      </c>
      <c r="F170" s="67">
        <v>84401</v>
      </c>
      <c r="G170" s="12">
        <f t="shared" si="33"/>
        <v>0.36390046296296297</v>
      </c>
      <c r="H170" s="19" t="str">
        <f t="shared" si="34"/>
        <v/>
      </c>
      <c r="I170" s="19" t="str">
        <f t="shared" si="35"/>
        <v/>
      </c>
      <c r="J170" s="19" t="str">
        <f t="shared" si="36"/>
        <v/>
      </c>
      <c r="K170" s="19">
        <f t="shared" si="37"/>
        <v>3.5879629629631538E-4</v>
      </c>
      <c r="L170" s="19" t="str">
        <f t="shared" si="38"/>
        <v/>
      </c>
      <c r="M170" s="19" t="str">
        <f t="shared" si="39"/>
        <v/>
      </c>
      <c r="N170" s="19" t="str">
        <f t="shared" si="40"/>
        <v/>
      </c>
      <c r="O170" s="19" t="str">
        <f t="shared" si="41"/>
        <v/>
      </c>
      <c r="P170" s="19" t="str">
        <f t="shared" si="42"/>
        <v/>
      </c>
      <c r="Q170" s="12">
        <f t="shared" si="43"/>
        <v>3.5879629629631538E-4</v>
      </c>
      <c r="R170" s="39" t="str">
        <f t="shared" si="44"/>
        <v/>
      </c>
      <c r="S170" s="39" t="str">
        <f t="shared" si="45"/>
        <v/>
      </c>
      <c r="V170" s="12" t="str">
        <f t="shared" si="32"/>
        <v/>
      </c>
      <c r="W170" s="22" t="str">
        <f t="shared" si="31"/>
        <v/>
      </c>
    </row>
    <row r="171" spans="1:23" x14ac:dyDescent="0.25">
      <c r="A171" s="67">
        <v>156</v>
      </c>
      <c r="B171" s="50">
        <v>9</v>
      </c>
      <c r="C171" s="67"/>
      <c r="D171" s="50">
        <v>5</v>
      </c>
      <c r="E171" s="67">
        <v>7</v>
      </c>
      <c r="F171" s="67">
        <v>84422</v>
      </c>
      <c r="G171" s="12">
        <f t="shared" si="33"/>
        <v>0.36414351851851851</v>
      </c>
      <c r="H171" s="19" t="str">
        <f t="shared" si="34"/>
        <v/>
      </c>
      <c r="I171" s="19" t="str">
        <f t="shared" si="35"/>
        <v/>
      </c>
      <c r="J171" s="19" t="str">
        <f t="shared" si="36"/>
        <v/>
      </c>
      <c r="K171" s="19" t="str">
        <f t="shared" si="37"/>
        <v/>
      </c>
      <c r="L171" s="19" t="str">
        <f t="shared" si="38"/>
        <v/>
      </c>
      <c r="M171" s="19" t="str">
        <f t="shared" si="39"/>
        <v/>
      </c>
      <c r="N171" s="19">
        <f t="shared" si="40"/>
        <v>2.4305555555553804E-4</v>
      </c>
      <c r="O171" s="19" t="str">
        <f t="shared" si="41"/>
        <v/>
      </c>
      <c r="P171" s="19" t="str">
        <f t="shared" si="42"/>
        <v/>
      </c>
      <c r="Q171" s="12">
        <f t="shared" si="43"/>
        <v>2.4305555555553804E-4</v>
      </c>
      <c r="R171" s="39" t="str">
        <f t="shared" si="44"/>
        <v/>
      </c>
      <c r="S171" s="39" t="str">
        <f t="shared" si="45"/>
        <v/>
      </c>
      <c r="V171" s="12" t="str">
        <f t="shared" si="32"/>
        <v/>
      </c>
      <c r="W171" s="22" t="str">
        <f t="shared" si="31"/>
        <v/>
      </c>
    </row>
    <row r="172" spans="1:23" x14ac:dyDescent="0.25">
      <c r="A172" s="67">
        <v>157</v>
      </c>
      <c r="B172" s="67"/>
      <c r="C172" s="50"/>
      <c r="D172" s="50"/>
      <c r="E172" s="67">
        <v>1</v>
      </c>
      <c r="F172" s="67">
        <v>84608</v>
      </c>
      <c r="G172" s="12">
        <f t="shared" si="33"/>
        <v>0.36537037037037035</v>
      </c>
      <c r="H172" s="19">
        <f t="shared" si="34"/>
        <v>1.2268518518518401E-3</v>
      </c>
      <c r="I172" s="19" t="str">
        <f t="shared" si="35"/>
        <v/>
      </c>
      <c r="J172" s="19" t="str">
        <f t="shared" si="36"/>
        <v/>
      </c>
      <c r="K172" s="19" t="str">
        <f t="shared" si="37"/>
        <v/>
      </c>
      <c r="L172" s="19" t="str">
        <f t="shared" si="38"/>
        <v/>
      </c>
      <c r="M172" s="19" t="str">
        <f t="shared" si="39"/>
        <v/>
      </c>
      <c r="N172" s="19" t="str">
        <f t="shared" si="40"/>
        <v/>
      </c>
      <c r="O172" s="19" t="str">
        <f t="shared" si="41"/>
        <v/>
      </c>
      <c r="P172" s="19" t="str">
        <f t="shared" si="42"/>
        <v/>
      </c>
      <c r="Q172" s="12">
        <f t="shared" si="43"/>
        <v>1.2268518518518401E-3</v>
      </c>
      <c r="R172" s="39">
        <f t="shared" si="44"/>
        <v>1.7666666666666666</v>
      </c>
      <c r="S172" s="39">
        <f t="shared" si="45"/>
        <v>1.7666666666666666</v>
      </c>
      <c r="V172" s="12">
        <f t="shared" si="32"/>
        <v>1.2268518518518401E-3</v>
      </c>
      <c r="W172" s="22" t="str">
        <f t="shared" si="31"/>
        <v/>
      </c>
    </row>
    <row r="173" spans="1:23" x14ac:dyDescent="0.25">
      <c r="A173" s="67">
        <v>158</v>
      </c>
      <c r="B173" s="67"/>
      <c r="C173" s="50"/>
      <c r="D173" s="50"/>
      <c r="E173" s="67">
        <v>4</v>
      </c>
      <c r="F173" s="67">
        <v>84635</v>
      </c>
      <c r="G173" s="12">
        <f t="shared" si="33"/>
        <v>0.36568287037037034</v>
      </c>
      <c r="H173" s="19" t="str">
        <f t="shared" si="34"/>
        <v/>
      </c>
      <c r="I173" s="19" t="str">
        <f t="shared" si="35"/>
        <v/>
      </c>
      <c r="J173" s="19" t="str">
        <f t="shared" si="36"/>
        <v/>
      </c>
      <c r="K173" s="19">
        <f t="shared" si="37"/>
        <v>3.1249999999999334E-4</v>
      </c>
      <c r="L173" s="19" t="str">
        <f t="shared" si="38"/>
        <v/>
      </c>
      <c r="M173" s="19" t="str">
        <f t="shared" si="39"/>
        <v/>
      </c>
      <c r="N173" s="19" t="str">
        <f t="shared" si="40"/>
        <v/>
      </c>
      <c r="O173" s="19" t="str">
        <f t="shared" si="41"/>
        <v/>
      </c>
      <c r="P173" s="19" t="str">
        <f t="shared" si="42"/>
        <v/>
      </c>
      <c r="Q173" s="12">
        <f t="shared" si="43"/>
        <v>3.1249999999999334E-4</v>
      </c>
      <c r="R173" s="39" t="str">
        <f t="shared" si="44"/>
        <v/>
      </c>
      <c r="S173" s="39" t="str">
        <f t="shared" si="45"/>
        <v/>
      </c>
      <c r="V173" s="12" t="str">
        <f t="shared" si="32"/>
        <v/>
      </c>
      <c r="W173" s="22" t="str">
        <f t="shared" si="31"/>
        <v/>
      </c>
    </row>
    <row r="174" spans="1:23" x14ac:dyDescent="0.25">
      <c r="A174" s="67">
        <v>159</v>
      </c>
      <c r="B174" s="50">
        <v>5</v>
      </c>
      <c r="C174" s="50"/>
      <c r="D174" s="50">
        <v>5</v>
      </c>
      <c r="E174" s="67">
        <v>7</v>
      </c>
      <c r="F174" s="67">
        <v>84654</v>
      </c>
      <c r="G174" s="12">
        <f t="shared" si="33"/>
        <v>0.36590277777777774</v>
      </c>
      <c r="H174" s="19" t="str">
        <f t="shared" si="34"/>
        <v/>
      </c>
      <c r="I174" s="19" t="str">
        <f t="shared" si="35"/>
        <v/>
      </c>
      <c r="J174" s="19" t="str">
        <f t="shared" si="36"/>
        <v/>
      </c>
      <c r="K174" s="19" t="str">
        <f t="shared" si="37"/>
        <v/>
      </c>
      <c r="L174" s="19" t="str">
        <f t="shared" si="38"/>
        <v/>
      </c>
      <c r="M174" s="19" t="str">
        <f t="shared" si="39"/>
        <v/>
      </c>
      <c r="N174" s="19">
        <f t="shared" si="40"/>
        <v>2.1990740740740478E-4</v>
      </c>
      <c r="O174" s="19" t="str">
        <f t="shared" si="41"/>
        <v/>
      </c>
      <c r="P174" s="19" t="str">
        <f t="shared" si="42"/>
        <v/>
      </c>
      <c r="Q174" s="12">
        <f t="shared" si="43"/>
        <v>2.1990740740740478E-4</v>
      </c>
      <c r="R174" s="39" t="str">
        <f t="shared" si="44"/>
        <v/>
      </c>
      <c r="S174" s="39" t="str">
        <f t="shared" si="45"/>
        <v/>
      </c>
      <c r="V174" s="12" t="str">
        <f t="shared" si="32"/>
        <v/>
      </c>
      <c r="W174" s="22" t="str">
        <f t="shared" si="31"/>
        <v/>
      </c>
    </row>
    <row r="175" spans="1:23" x14ac:dyDescent="0.25">
      <c r="A175" s="67">
        <v>160</v>
      </c>
      <c r="B175" s="67"/>
      <c r="C175" s="50"/>
      <c r="D175" s="50"/>
      <c r="E175" s="67">
        <v>1</v>
      </c>
      <c r="F175" s="67">
        <v>84832</v>
      </c>
      <c r="G175" s="12">
        <f t="shared" si="33"/>
        <v>0.36703703703703705</v>
      </c>
      <c r="H175" s="19">
        <f t="shared" si="34"/>
        <v>1.134259259259307E-3</v>
      </c>
      <c r="I175" s="19" t="str">
        <f t="shared" si="35"/>
        <v/>
      </c>
      <c r="J175" s="19" t="str">
        <f t="shared" si="36"/>
        <v/>
      </c>
      <c r="K175" s="19" t="str">
        <f t="shared" si="37"/>
        <v/>
      </c>
      <c r="L175" s="19" t="str">
        <f t="shared" si="38"/>
        <v/>
      </c>
      <c r="M175" s="19" t="str">
        <f t="shared" si="39"/>
        <v/>
      </c>
      <c r="N175" s="19" t="str">
        <f t="shared" si="40"/>
        <v/>
      </c>
      <c r="O175" s="19" t="str">
        <f t="shared" si="41"/>
        <v/>
      </c>
      <c r="P175" s="19" t="str">
        <f t="shared" si="42"/>
        <v/>
      </c>
      <c r="Q175" s="12">
        <f t="shared" si="43"/>
        <v>1.134259259259307E-3</v>
      </c>
      <c r="R175" s="39">
        <f t="shared" si="44"/>
        <v>1.6333333333333333</v>
      </c>
      <c r="S175" s="39">
        <f t="shared" si="45"/>
        <v>1.6333333333333333</v>
      </c>
      <c r="V175" s="12">
        <f t="shared" si="32"/>
        <v>1.134259259259307E-3</v>
      </c>
      <c r="W175" s="22" t="str">
        <f t="shared" si="31"/>
        <v/>
      </c>
    </row>
    <row r="176" spans="1:23" x14ac:dyDescent="0.25">
      <c r="A176" s="67">
        <v>161</v>
      </c>
      <c r="B176" s="67"/>
      <c r="C176" s="50"/>
      <c r="D176" s="49"/>
      <c r="E176" s="67">
        <v>4</v>
      </c>
      <c r="F176" s="67">
        <v>84906</v>
      </c>
      <c r="G176" s="12">
        <f t="shared" si="33"/>
        <v>0.36743055555555554</v>
      </c>
      <c r="H176" s="19" t="str">
        <f t="shared" si="34"/>
        <v/>
      </c>
      <c r="I176" s="19" t="str">
        <f t="shared" si="35"/>
        <v/>
      </c>
      <c r="J176" s="19" t="str">
        <f t="shared" si="36"/>
        <v/>
      </c>
      <c r="K176" s="19">
        <f t="shared" si="37"/>
        <v>3.9351851851848751E-4</v>
      </c>
      <c r="L176" s="19" t="str">
        <f t="shared" si="38"/>
        <v/>
      </c>
      <c r="M176" s="19" t="str">
        <f t="shared" si="39"/>
        <v/>
      </c>
      <c r="N176" s="19" t="str">
        <f t="shared" si="40"/>
        <v/>
      </c>
      <c r="O176" s="19" t="str">
        <f t="shared" si="41"/>
        <v/>
      </c>
      <c r="P176" s="19" t="str">
        <f t="shared" si="42"/>
        <v/>
      </c>
      <c r="Q176" s="12">
        <f t="shared" si="43"/>
        <v>3.9351851851848751E-4</v>
      </c>
      <c r="R176" s="39" t="str">
        <f t="shared" si="44"/>
        <v/>
      </c>
      <c r="S176" s="39" t="str">
        <f t="shared" si="45"/>
        <v/>
      </c>
      <c r="V176" s="12" t="str">
        <f t="shared" si="32"/>
        <v/>
      </c>
      <c r="W176" s="22" t="str">
        <f t="shared" si="31"/>
        <v/>
      </c>
    </row>
    <row r="177" spans="1:23" x14ac:dyDescent="0.25">
      <c r="A177" s="67">
        <v>162</v>
      </c>
      <c r="B177" s="49">
        <v>10</v>
      </c>
      <c r="C177" s="49"/>
      <c r="D177" s="49">
        <v>5</v>
      </c>
      <c r="E177" s="67">
        <v>7</v>
      </c>
      <c r="F177" s="67">
        <v>84928</v>
      </c>
      <c r="G177" s="12">
        <f t="shared" si="33"/>
        <v>0.36768518518518517</v>
      </c>
      <c r="H177" s="19" t="str">
        <f t="shared" si="34"/>
        <v/>
      </c>
      <c r="I177" s="19" t="str">
        <f t="shared" si="35"/>
        <v/>
      </c>
      <c r="J177" s="19" t="str">
        <f t="shared" si="36"/>
        <v/>
      </c>
      <c r="K177" s="19" t="str">
        <f t="shared" si="37"/>
        <v/>
      </c>
      <c r="L177" s="19" t="str">
        <f t="shared" si="38"/>
        <v/>
      </c>
      <c r="M177" s="19" t="str">
        <f t="shared" si="39"/>
        <v/>
      </c>
      <c r="N177" s="19">
        <f t="shared" si="40"/>
        <v>2.5462962962963243E-4</v>
      </c>
      <c r="O177" s="19" t="str">
        <f t="shared" si="41"/>
        <v/>
      </c>
      <c r="P177" s="19" t="str">
        <f t="shared" si="42"/>
        <v/>
      </c>
      <c r="Q177" s="12">
        <f t="shared" si="43"/>
        <v>2.5462962962963243E-4</v>
      </c>
      <c r="R177" s="39" t="str">
        <f t="shared" si="44"/>
        <v/>
      </c>
      <c r="S177" s="39" t="str">
        <f t="shared" si="45"/>
        <v/>
      </c>
      <c r="V177" s="12" t="str">
        <f t="shared" si="32"/>
        <v/>
      </c>
      <c r="W177" s="22" t="str">
        <f t="shared" si="31"/>
        <v/>
      </c>
    </row>
    <row r="178" spans="1:23" x14ac:dyDescent="0.25">
      <c r="A178" s="67">
        <v>163</v>
      </c>
      <c r="B178" s="49"/>
      <c r="C178" s="49"/>
      <c r="D178" s="49"/>
      <c r="E178" s="67">
        <v>1</v>
      </c>
      <c r="F178" s="67">
        <v>85102</v>
      </c>
      <c r="G178" s="12">
        <f t="shared" si="33"/>
        <v>0.36877314814814816</v>
      </c>
      <c r="H178" s="19">
        <f t="shared" si="34"/>
        <v>1.087962962962985E-3</v>
      </c>
      <c r="I178" s="19" t="str">
        <f t="shared" si="35"/>
        <v/>
      </c>
      <c r="J178" s="19" t="str">
        <f t="shared" si="36"/>
        <v/>
      </c>
      <c r="K178" s="19" t="str">
        <f t="shared" si="37"/>
        <v/>
      </c>
      <c r="L178" s="19" t="str">
        <f t="shared" si="38"/>
        <v/>
      </c>
      <c r="M178" s="19" t="str">
        <f t="shared" si="39"/>
        <v/>
      </c>
      <c r="N178" s="19" t="str">
        <f t="shared" si="40"/>
        <v/>
      </c>
      <c r="O178" s="19" t="str">
        <f t="shared" si="41"/>
        <v/>
      </c>
      <c r="P178" s="19" t="str">
        <f t="shared" si="42"/>
        <v/>
      </c>
      <c r="Q178" s="12">
        <f t="shared" si="43"/>
        <v>1.087962962962985E-3</v>
      </c>
      <c r="R178" s="39">
        <f t="shared" si="44"/>
        <v>1.5666666666666667</v>
      </c>
      <c r="S178" s="39">
        <f t="shared" si="45"/>
        <v>1.5666666666666667</v>
      </c>
      <c r="V178" s="12">
        <f t="shared" si="32"/>
        <v>1.087962962962985E-3</v>
      </c>
      <c r="W178" s="22" t="str">
        <f t="shared" si="31"/>
        <v/>
      </c>
    </row>
    <row r="179" spans="1:23" x14ac:dyDescent="0.25">
      <c r="A179" s="67">
        <v>164</v>
      </c>
      <c r="B179" s="49"/>
      <c r="C179" s="49"/>
      <c r="D179" s="49"/>
      <c r="E179" s="67">
        <v>4</v>
      </c>
      <c r="F179" s="67">
        <v>85132</v>
      </c>
      <c r="G179" s="12">
        <f t="shared" si="33"/>
        <v>0.36912037037037032</v>
      </c>
      <c r="H179" s="19" t="str">
        <f t="shared" si="34"/>
        <v/>
      </c>
      <c r="I179" s="19" t="str">
        <f t="shared" si="35"/>
        <v/>
      </c>
      <c r="J179" s="19" t="str">
        <f t="shared" si="36"/>
        <v/>
      </c>
      <c r="K179" s="19">
        <f t="shared" si="37"/>
        <v>3.4722222222216548E-4</v>
      </c>
      <c r="L179" s="19" t="str">
        <f t="shared" si="38"/>
        <v/>
      </c>
      <c r="M179" s="19" t="str">
        <f t="shared" si="39"/>
        <v/>
      </c>
      <c r="N179" s="19" t="str">
        <f t="shared" si="40"/>
        <v/>
      </c>
      <c r="O179" s="19" t="str">
        <f t="shared" si="41"/>
        <v/>
      </c>
      <c r="P179" s="19" t="str">
        <f t="shared" si="42"/>
        <v/>
      </c>
      <c r="Q179" s="12">
        <f t="shared" si="43"/>
        <v>3.4722222222216548E-4</v>
      </c>
      <c r="R179" s="39" t="str">
        <f t="shared" si="44"/>
        <v/>
      </c>
      <c r="S179" s="39" t="str">
        <f t="shared" si="45"/>
        <v/>
      </c>
      <c r="V179" s="12" t="str">
        <f t="shared" si="32"/>
        <v/>
      </c>
      <c r="W179" s="22" t="str">
        <f t="shared" si="31"/>
        <v/>
      </c>
    </row>
    <row r="180" spans="1:23" x14ac:dyDescent="0.25">
      <c r="A180" s="67">
        <v>165</v>
      </c>
      <c r="B180" s="49">
        <v>12</v>
      </c>
      <c r="C180" s="49"/>
      <c r="D180" s="49">
        <v>5</v>
      </c>
      <c r="E180" s="67">
        <v>7</v>
      </c>
      <c r="F180" s="67">
        <v>85200</v>
      </c>
      <c r="G180" s="12">
        <f t="shared" si="33"/>
        <v>0.36944444444444446</v>
      </c>
      <c r="H180" s="19" t="str">
        <f t="shared" si="34"/>
        <v/>
      </c>
      <c r="I180" s="19" t="str">
        <f t="shared" si="35"/>
        <v/>
      </c>
      <c r="J180" s="19" t="str">
        <f t="shared" si="36"/>
        <v/>
      </c>
      <c r="K180" s="19" t="str">
        <f t="shared" si="37"/>
        <v/>
      </c>
      <c r="L180" s="19" t="str">
        <f t="shared" si="38"/>
        <v/>
      </c>
      <c r="M180" s="19" t="str">
        <f t="shared" si="39"/>
        <v/>
      </c>
      <c r="N180" s="19">
        <f t="shared" si="40"/>
        <v>3.2407407407414324E-4</v>
      </c>
      <c r="O180" s="19" t="str">
        <f t="shared" si="41"/>
        <v/>
      </c>
      <c r="P180" s="19" t="str">
        <f t="shared" si="42"/>
        <v/>
      </c>
      <c r="Q180" s="12">
        <f t="shared" si="43"/>
        <v>3.2407407407414324E-4</v>
      </c>
      <c r="R180" s="39" t="str">
        <f t="shared" si="44"/>
        <v/>
      </c>
      <c r="S180" s="39" t="str">
        <f t="shared" si="45"/>
        <v/>
      </c>
      <c r="V180" s="12" t="str">
        <f t="shared" si="32"/>
        <v/>
      </c>
      <c r="W180" s="22" t="str">
        <f t="shared" si="31"/>
        <v/>
      </c>
    </row>
    <row r="181" spans="1:23" x14ac:dyDescent="0.25">
      <c r="A181" s="67">
        <v>166</v>
      </c>
      <c r="B181" s="49"/>
      <c r="C181" s="49"/>
      <c r="D181" s="49"/>
      <c r="E181" s="67">
        <v>1</v>
      </c>
      <c r="F181" s="67">
        <v>85347</v>
      </c>
      <c r="G181" s="12">
        <f t="shared" si="33"/>
        <v>0.3706828703703704</v>
      </c>
      <c r="H181" s="19">
        <f t="shared" si="34"/>
        <v>1.2384259259259345E-3</v>
      </c>
      <c r="I181" s="19" t="str">
        <f t="shared" si="35"/>
        <v/>
      </c>
      <c r="J181" s="19" t="str">
        <f t="shared" si="36"/>
        <v/>
      </c>
      <c r="K181" s="19" t="str">
        <f t="shared" si="37"/>
        <v/>
      </c>
      <c r="L181" s="19" t="str">
        <f t="shared" si="38"/>
        <v/>
      </c>
      <c r="M181" s="19" t="str">
        <f t="shared" si="39"/>
        <v/>
      </c>
      <c r="N181" s="19" t="str">
        <f t="shared" si="40"/>
        <v/>
      </c>
      <c r="O181" s="19" t="str">
        <f t="shared" si="41"/>
        <v/>
      </c>
      <c r="P181" s="19" t="str">
        <f t="shared" si="42"/>
        <v/>
      </c>
      <c r="Q181" s="12">
        <f t="shared" si="43"/>
        <v>1.2384259259259345E-3</v>
      </c>
      <c r="R181" s="39">
        <f t="shared" si="44"/>
        <v>1.7833333333333332</v>
      </c>
      <c r="S181" s="39">
        <f t="shared" si="45"/>
        <v>1.7833333333333332</v>
      </c>
      <c r="V181" s="12">
        <f t="shared" si="32"/>
        <v>1.2384259259259345E-3</v>
      </c>
      <c r="W181" s="22" t="str">
        <f>_xlfn.IFS(V181="","",SECOND(V181)&lt;10,"",  (HOUR(V181)*3600+MINUTE(V181)*60+SECOND(V181))&gt;60,"", (HOUR(V181)*3600+MINUTE(V181)*60+SECOND(V181))&lt;60, HOUR(V181)*3600+MINUTE(V181)*60+SECOND(V181))</f>
        <v/>
      </c>
    </row>
    <row r="182" spans="1:23" x14ac:dyDescent="0.25">
      <c r="A182" s="67">
        <v>167</v>
      </c>
      <c r="B182" s="49"/>
      <c r="C182" s="49"/>
      <c r="D182" s="49"/>
      <c r="E182" s="67">
        <v>4</v>
      </c>
      <c r="F182" s="67">
        <v>85409</v>
      </c>
      <c r="G182" s="12">
        <f t="shared" si="33"/>
        <v>0.37093749999999998</v>
      </c>
      <c r="H182" s="19" t="str">
        <f t="shared" si="34"/>
        <v/>
      </c>
      <c r="I182" s="19" t="str">
        <f t="shared" si="35"/>
        <v/>
      </c>
      <c r="J182" s="19" t="str">
        <f t="shared" si="36"/>
        <v/>
      </c>
      <c r="K182" s="19">
        <f t="shared" si="37"/>
        <v>2.5462962962957691E-4</v>
      </c>
      <c r="L182" s="19" t="str">
        <f t="shared" si="38"/>
        <v/>
      </c>
      <c r="M182" s="19" t="str">
        <f t="shared" si="39"/>
        <v/>
      </c>
      <c r="N182" s="19" t="str">
        <f t="shared" si="40"/>
        <v/>
      </c>
      <c r="O182" s="19" t="str">
        <f t="shared" si="41"/>
        <v/>
      </c>
      <c r="P182" s="19" t="str">
        <f t="shared" si="42"/>
        <v/>
      </c>
      <c r="Q182" s="12">
        <f t="shared" si="43"/>
        <v>2.5462962962957691E-4</v>
      </c>
      <c r="R182" s="39" t="str">
        <f t="shared" si="44"/>
        <v/>
      </c>
      <c r="S182" s="39" t="str">
        <f t="shared" si="45"/>
        <v/>
      </c>
      <c r="V182" s="12" t="str">
        <f t="shared" si="32"/>
        <v/>
      </c>
      <c r="W182" s="22" t="str">
        <f t="shared" ref="W182:W245" si="46">_xlfn.IFS(V182="","",SECOND(V182)&lt;10,"",  (HOUR(V182)*3600+MINUTE(V182)*60+SECOND(V182))&gt;60,"", (HOUR(V182)*3600+MINUTE(V182)*60+SECOND(V182))&lt;60, HOUR(V182)*3600+MINUTE(V182)*60+SECOND(V182))</f>
        <v/>
      </c>
    </row>
    <row r="183" spans="1:23" x14ac:dyDescent="0.25">
      <c r="A183" s="67">
        <v>168</v>
      </c>
      <c r="B183" s="49"/>
      <c r="C183" s="49"/>
      <c r="D183" s="49"/>
      <c r="E183" s="67">
        <v>8</v>
      </c>
      <c r="F183" s="67">
        <v>85721</v>
      </c>
      <c r="G183" s="12">
        <f t="shared" si="33"/>
        <v>0.37315972222222221</v>
      </c>
      <c r="H183" s="19" t="str">
        <f t="shared" si="34"/>
        <v/>
      </c>
      <c r="I183" s="19" t="str">
        <f t="shared" si="35"/>
        <v/>
      </c>
      <c r="J183" s="19" t="str">
        <f t="shared" si="36"/>
        <v/>
      </c>
      <c r="K183" s="19" t="str">
        <f t="shared" si="37"/>
        <v/>
      </c>
      <c r="L183" s="19" t="str">
        <f t="shared" si="38"/>
        <v/>
      </c>
      <c r="M183" s="19" t="str">
        <f t="shared" si="39"/>
        <v/>
      </c>
      <c r="N183" s="19" t="str">
        <f t="shared" si="40"/>
        <v/>
      </c>
      <c r="O183" s="19">
        <f t="shared" si="41"/>
        <v>2.2222222222222365E-3</v>
      </c>
      <c r="P183" s="19" t="str">
        <f t="shared" si="42"/>
        <v/>
      </c>
      <c r="Q183" s="12">
        <f t="shared" si="43"/>
        <v>2.2222222222222365E-3</v>
      </c>
      <c r="R183" s="39" t="str">
        <f t="shared" si="44"/>
        <v/>
      </c>
      <c r="S183" s="39" t="str">
        <f t="shared" si="45"/>
        <v/>
      </c>
      <c r="T183" s="44"/>
      <c r="V183" s="12" t="str">
        <f t="shared" si="32"/>
        <v/>
      </c>
      <c r="W183" s="22" t="str">
        <f t="shared" si="46"/>
        <v/>
      </c>
    </row>
    <row r="184" spans="1:23" x14ac:dyDescent="0.25">
      <c r="A184" s="67">
        <v>169</v>
      </c>
      <c r="B184" s="49">
        <v>978</v>
      </c>
      <c r="C184" s="49"/>
      <c r="D184" s="82">
        <v>5</v>
      </c>
      <c r="E184" s="67">
        <v>7</v>
      </c>
      <c r="F184" s="67">
        <v>85757</v>
      </c>
      <c r="G184" s="12">
        <f t="shared" si="33"/>
        <v>0.37357638888888894</v>
      </c>
      <c r="H184" s="19" t="str">
        <f t="shared" si="34"/>
        <v/>
      </c>
      <c r="I184" s="19" t="str">
        <f t="shared" si="35"/>
        <v/>
      </c>
      <c r="J184" s="19" t="str">
        <f t="shared" si="36"/>
        <v/>
      </c>
      <c r="K184" s="19" t="str">
        <f t="shared" si="37"/>
        <v/>
      </c>
      <c r="L184" s="19" t="str">
        <f t="shared" si="38"/>
        <v/>
      </c>
      <c r="M184" s="19" t="str">
        <f t="shared" si="39"/>
        <v/>
      </c>
      <c r="N184" s="19">
        <f t="shared" si="40"/>
        <v>4.166666666667318E-4</v>
      </c>
      <c r="O184" s="19" t="str">
        <f t="shared" si="41"/>
        <v/>
      </c>
      <c r="P184" s="19" t="str">
        <f t="shared" si="42"/>
        <v/>
      </c>
      <c r="Q184" s="12">
        <f t="shared" si="43"/>
        <v>4.166666666667318E-4</v>
      </c>
      <c r="R184" s="39" t="str">
        <f t="shared" si="44"/>
        <v/>
      </c>
      <c r="S184" s="39" t="str">
        <f t="shared" si="45"/>
        <v/>
      </c>
      <c r="V184" s="12" t="str">
        <f t="shared" si="32"/>
        <v/>
      </c>
      <c r="W184" s="22" t="str">
        <f t="shared" si="46"/>
        <v/>
      </c>
    </row>
    <row r="185" spans="1:23" x14ac:dyDescent="0.25">
      <c r="A185" s="67">
        <v>170</v>
      </c>
      <c r="B185" s="67"/>
      <c r="C185" s="67"/>
      <c r="D185" s="82"/>
      <c r="E185" s="67">
        <v>1</v>
      </c>
      <c r="F185" s="67">
        <v>90003</v>
      </c>
      <c r="G185" s="12">
        <f t="shared" si="33"/>
        <v>0.37503472222222217</v>
      </c>
      <c r="H185" s="19">
        <f t="shared" si="34"/>
        <v>1.4583333333332282E-3</v>
      </c>
      <c r="I185" s="19" t="str">
        <f t="shared" si="35"/>
        <v/>
      </c>
      <c r="J185" s="19" t="str">
        <f t="shared" si="36"/>
        <v/>
      </c>
      <c r="K185" s="19" t="str">
        <f t="shared" si="37"/>
        <v/>
      </c>
      <c r="L185" s="19" t="str">
        <f t="shared" si="38"/>
        <v/>
      </c>
      <c r="M185" s="19" t="str">
        <f t="shared" si="39"/>
        <v/>
      </c>
      <c r="N185" s="19" t="str">
        <f t="shared" si="40"/>
        <v/>
      </c>
      <c r="O185" s="19" t="str">
        <f t="shared" si="41"/>
        <v/>
      </c>
      <c r="P185" s="19" t="str">
        <f t="shared" si="42"/>
        <v/>
      </c>
      <c r="Q185" s="12">
        <f t="shared" si="43"/>
        <v>1.4583333333332282E-3</v>
      </c>
      <c r="R185" s="39">
        <f t="shared" si="44"/>
        <v>2.1</v>
      </c>
      <c r="S185" s="39">
        <f t="shared" si="45"/>
        <v>2.1</v>
      </c>
      <c r="V185" s="12">
        <f t="shared" si="32"/>
        <v>1.4583333333332282E-3</v>
      </c>
      <c r="W185" s="22" t="str">
        <f t="shared" si="46"/>
        <v/>
      </c>
    </row>
    <row r="186" spans="1:23" x14ac:dyDescent="0.25">
      <c r="A186" s="67">
        <v>171</v>
      </c>
      <c r="B186" s="67"/>
      <c r="C186" s="67"/>
      <c r="D186" s="82"/>
      <c r="E186" s="67">
        <v>4</v>
      </c>
      <c r="F186" s="67">
        <v>90043</v>
      </c>
      <c r="G186" s="12">
        <f t="shared" si="33"/>
        <v>0.37549768518518517</v>
      </c>
      <c r="H186" s="19" t="str">
        <f t="shared" si="34"/>
        <v/>
      </c>
      <c r="I186" s="19" t="str">
        <f t="shared" si="35"/>
        <v/>
      </c>
      <c r="J186" s="19" t="str">
        <f t="shared" si="36"/>
        <v/>
      </c>
      <c r="K186" s="19">
        <f t="shared" si="37"/>
        <v>4.6296296296299833E-4</v>
      </c>
      <c r="L186" s="19" t="str">
        <f t="shared" si="38"/>
        <v/>
      </c>
      <c r="M186" s="19" t="str">
        <f t="shared" si="39"/>
        <v/>
      </c>
      <c r="N186" s="19" t="str">
        <f t="shared" si="40"/>
        <v/>
      </c>
      <c r="O186" s="19" t="str">
        <f t="shared" si="41"/>
        <v/>
      </c>
      <c r="P186" s="19" t="str">
        <f t="shared" si="42"/>
        <v/>
      </c>
      <c r="Q186" s="12">
        <f t="shared" si="43"/>
        <v>4.6296296296299833E-4</v>
      </c>
      <c r="R186" s="39" t="str">
        <f t="shared" si="44"/>
        <v/>
      </c>
      <c r="S186" s="39" t="str">
        <f t="shared" si="45"/>
        <v/>
      </c>
      <c r="V186" s="12" t="str">
        <f t="shared" si="32"/>
        <v/>
      </c>
      <c r="W186" s="22" t="str">
        <f t="shared" si="46"/>
        <v/>
      </c>
    </row>
    <row r="187" spans="1:23" x14ac:dyDescent="0.25">
      <c r="A187" s="67">
        <v>172</v>
      </c>
      <c r="B187" s="67">
        <v>8</v>
      </c>
      <c r="C187" s="67"/>
      <c r="D187" s="48">
        <v>5</v>
      </c>
      <c r="E187" s="67">
        <v>7</v>
      </c>
      <c r="F187" s="67">
        <v>90110</v>
      </c>
      <c r="G187" s="12">
        <f t="shared" si="33"/>
        <v>0.37581018518518516</v>
      </c>
      <c r="H187" s="19" t="str">
        <f t="shared" si="34"/>
        <v/>
      </c>
      <c r="I187" s="19" t="str">
        <f t="shared" si="35"/>
        <v/>
      </c>
      <c r="J187" s="19" t="str">
        <f t="shared" si="36"/>
        <v/>
      </c>
      <c r="K187" s="19" t="str">
        <f t="shared" si="37"/>
        <v/>
      </c>
      <c r="L187" s="19" t="str">
        <f t="shared" si="38"/>
        <v/>
      </c>
      <c r="M187" s="19" t="str">
        <f t="shared" si="39"/>
        <v/>
      </c>
      <c r="N187" s="19">
        <f t="shared" si="40"/>
        <v>3.1249999999999334E-4</v>
      </c>
      <c r="O187" s="19" t="str">
        <f t="shared" si="41"/>
        <v/>
      </c>
      <c r="P187" s="19" t="str">
        <f t="shared" si="42"/>
        <v/>
      </c>
      <c r="Q187" s="12">
        <f t="shared" si="43"/>
        <v>3.1249999999999334E-4</v>
      </c>
      <c r="R187" s="39" t="str">
        <f t="shared" si="44"/>
        <v/>
      </c>
      <c r="S187" s="39" t="str">
        <f t="shared" si="45"/>
        <v/>
      </c>
      <c r="V187" s="12" t="str">
        <f t="shared" si="32"/>
        <v/>
      </c>
      <c r="W187" s="22" t="str">
        <f t="shared" si="46"/>
        <v/>
      </c>
    </row>
    <row r="188" spans="1:23" x14ac:dyDescent="0.25">
      <c r="A188" s="67">
        <v>173</v>
      </c>
      <c r="B188" s="49"/>
      <c r="C188" s="48"/>
      <c r="D188" s="48"/>
      <c r="E188" s="67">
        <v>1</v>
      </c>
      <c r="F188" s="67">
        <v>90253</v>
      </c>
      <c r="G188" s="12">
        <f t="shared" si="33"/>
        <v>0.37700231481481478</v>
      </c>
      <c r="H188" s="19">
        <f t="shared" si="34"/>
        <v>1.1921296296296124E-3</v>
      </c>
      <c r="I188" s="19" t="str">
        <f t="shared" si="35"/>
        <v/>
      </c>
      <c r="J188" s="19" t="str">
        <f t="shared" si="36"/>
        <v/>
      </c>
      <c r="K188" s="19" t="str">
        <f t="shared" si="37"/>
        <v/>
      </c>
      <c r="L188" s="19" t="str">
        <f t="shared" si="38"/>
        <v/>
      </c>
      <c r="M188" s="19" t="str">
        <f t="shared" si="39"/>
        <v/>
      </c>
      <c r="N188" s="19" t="str">
        <f t="shared" si="40"/>
        <v/>
      </c>
      <c r="O188" s="19" t="str">
        <f t="shared" si="41"/>
        <v/>
      </c>
      <c r="P188" s="19" t="str">
        <f t="shared" si="42"/>
        <v/>
      </c>
      <c r="Q188" s="12">
        <f t="shared" si="43"/>
        <v>1.1921296296296124E-3</v>
      </c>
      <c r="R188" s="39">
        <f t="shared" si="44"/>
        <v>1.7166666666666668</v>
      </c>
      <c r="S188" s="39">
        <f t="shared" si="45"/>
        <v>1.7166666666666668</v>
      </c>
      <c r="V188" s="12">
        <f t="shared" si="32"/>
        <v>1.1921296296296124E-3</v>
      </c>
      <c r="W188" s="22" t="str">
        <f t="shared" si="46"/>
        <v/>
      </c>
    </row>
    <row r="189" spans="1:23" x14ac:dyDescent="0.25">
      <c r="A189" s="67">
        <v>174</v>
      </c>
      <c r="B189" s="49"/>
      <c r="C189" s="48"/>
      <c r="D189" s="48"/>
      <c r="E189" s="67">
        <v>4</v>
      </c>
      <c r="F189" s="67">
        <v>90323</v>
      </c>
      <c r="G189" s="12">
        <f t="shared" si="33"/>
        <v>0.37734953703703705</v>
      </c>
      <c r="H189" s="19" t="str">
        <f t="shared" si="34"/>
        <v/>
      </c>
      <c r="I189" s="19" t="str">
        <f t="shared" si="35"/>
        <v/>
      </c>
      <c r="J189" s="19" t="str">
        <f t="shared" si="36"/>
        <v/>
      </c>
      <c r="K189" s="19">
        <f t="shared" si="37"/>
        <v>3.472222222222765E-4</v>
      </c>
      <c r="L189" s="19" t="str">
        <f t="shared" si="38"/>
        <v/>
      </c>
      <c r="M189" s="19" t="str">
        <f t="shared" si="39"/>
        <v/>
      </c>
      <c r="N189" s="19" t="str">
        <f t="shared" si="40"/>
        <v/>
      </c>
      <c r="O189" s="19" t="str">
        <f t="shared" si="41"/>
        <v/>
      </c>
      <c r="P189" s="19" t="str">
        <f t="shared" si="42"/>
        <v/>
      </c>
      <c r="Q189" s="12">
        <f t="shared" si="43"/>
        <v>3.472222222222765E-4</v>
      </c>
      <c r="R189" s="39" t="str">
        <f t="shared" si="44"/>
        <v/>
      </c>
      <c r="S189" s="39" t="str">
        <f t="shared" si="45"/>
        <v/>
      </c>
      <c r="V189" s="12" t="str">
        <f t="shared" si="32"/>
        <v/>
      </c>
      <c r="W189" s="22" t="str">
        <f t="shared" si="46"/>
        <v/>
      </c>
    </row>
    <row r="190" spans="1:23" x14ac:dyDescent="0.25">
      <c r="A190" s="67">
        <v>175</v>
      </c>
      <c r="B190" s="49">
        <v>9</v>
      </c>
      <c r="C190" s="48"/>
      <c r="D190" s="48">
        <v>5</v>
      </c>
      <c r="E190" s="67">
        <v>7</v>
      </c>
      <c r="F190" s="67">
        <v>90350</v>
      </c>
      <c r="G190" s="12">
        <f t="shared" si="33"/>
        <v>0.37766203703703699</v>
      </c>
      <c r="H190" s="19" t="str">
        <f t="shared" si="34"/>
        <v/>
      </c>
      <c r="I190" s="19" t="str">
        <f t="shared" si="35"/>
        <v/>
      </c>
      <c r="J190" s="19" t="str">
        <f t="shared" si="36"/>
        <v/>
      </c>
      <c r="K190" s="19" t="str">
        <f t="shared" si="37"/>
        <v/>
      </c>
      <c r="L190" s="19" t="str">
        <f t="shared" si="38"/>
        <v/>
      </c>
      <c r="M190" s="19" t="str">
        <f t="shared" si="39"/>
        <v/>
      </c>
      <c r="N190" s="19">
        <f t="shared" si="40"/>
        <v>3.1249999999993783E-4</v>
      </c>
      <c r="O190" s="19" t="str">
        <f t="shared" si="41"/>
        <v/>
      </c>
      <c r="P190" s="19" t="str">
        <f t="shared" si="42"/>
        <v/>
      </c>
      <c r="Q190" s="12">
        <f t="shared" si="43"/>
        <v>3.1249999999993783E-4</v>
      </c>
      <c r="R190" s="39" t="str">
        <f t="shared" si="44"/>
        <v/>
      </c>
      <c r="S190" s="39" t="str">
        <f t="shared" si="45"/>
        <v/>
      </c>
      <c r="V190" s="12" t="str">
        <f t="shared" si="32"/>
        <v/>
      </c>
      <c r="W190" s="22" t="str">
        <f t="shared" si="46"/>
        <v/>
      </c>
    </row>
    <row r="191" spans="1:23" x14ac:dyDescent="0.25">
      <c r="A191" s="67">
        <v>176</v>
      </c>
      <c r="B191" s="49"/>
      <c r="C191" s="48"/>
      <c r="D191" s="48"/>
      <c r="E191" s="67">
        <v>1</v>
      </c>
      <c r="F191" s="67">
        <v>90530</v>
      </c>
      <c r="G191" s="12">
        <f t="shared" si="33"/>
        <v>0.37881944444444443</v>
      </c>
      <c r="H191" s="19">
        <f t="shared" si="34"/>
        <v>1.1574074074074403E-3</v>
      </c>
      <c r="I191" s="19" t="str">
        <f t="shared" si="35"/>
        <v/>
      </c>
      <c r="J191" s="19" t="str">
        <f t="shared" si="36"/>
        <v/>
      </c>
      <c r="K191" s="19" t="str">
        <f t="shared" si="37"/>
        <v/>
      </c>
      <c r="L191" s="19" t="str">
        <f t="shared" si="38"/>
        <v/>
      </c>
      <c r="M191" s="19" t="str">
        <f t="shared" si="39"/>
        <v/>
      </c>
      <c r="N191" s="19" t="str">
        <f t="shared" si="40"/>
        <v/>
      </c>
      <c r="O191" s="19" t="str">
        <f t="shared" si="41"/>
        <v/>
      </c>
      <c r="P191" s="19" t="str">
        <f t="shared" si="42"/>
        <v/>
      </c>
      <c r="Q191" s="12">
        <f t="shared" si="43"/>
        <v>1.1574074074074403E-3</v>
      </c>
      <c r="R191" s="39">
        <f t="shared" si="44"/>
        <v>1.6666666666666665</v>
      </c>
      <c r="S191" s="39">
        <f t="shared" si="45"/>
        <v>1.6666666666666665</v>
      </c>
      <c r="V191" s="12">
        <f t="shared" si="32"/>
        <v>1.1574074074074403E-3</v>
      </c>
      <c r="W191" s="22" t="str">
        <f t="shared" si="46"/>
        <v/>
      </c>
    </row>
    <row r="192" spans="1:23" x14ac:dyDescent="0.25">
      <c r="A192" s="67">
        <v>177</v>
      </c>
      <c r="B192" s="49"/>
      <c r="C192" s="48"/>
      <c r="D192" s="48"/>
      <c r="E192" s="67">
        <v>4</v>
      </c>
      <c r="F192" s="67">
        <v>90556</v>
      </c>
      <c r="G192" s="12">
        <f t="shared" si="33"/>
        <v>0.37912037037037033</v>
      </c>
      <c r="H192" s="19" t="str">
        <f t="shared" si="34"/>
        <v/>
      </c>
      <c r="I192" s="19" t="str">
        <f t="shared" si="35"/>
        <v/>
      </c>
      <c r="J192" s="19" t="str">
        <f t="shared" si="36"/>
        <v/>
      </c>
      <c r="K192" s="19">
        <f t="shared" si="37"/>
        <v>3.0092592592589895E-4</v>
      </c>
      <c r="L192" s="19" t="str">
        <f t="shared" si="38"/>
        <v/>
      </c>
      <c r="M192" s="19" t="str">
        <f t="shared" si="39"/>
        <v/>
      </c>
      <c r="N192" s="19" t="str">
        <f t="shared" si="40"/>
        <v/>
      </c>
      <c r="O192" s="19" t="str">
        <f t="shared" si="41"/>
        <v/>
      </c>
      <c r="P192" s="19" t="str">
        <f t="shared" si="42"/>
        <v/>
      </c>
      <c r="Q192" s="12">
        <f t="shared" si="43"/>
        <v>3.0092592592589895E-4</v>
      </c>
      <c r="R192" s="39" t="str">
        <f t="shared" si="44"/>
        <v/>
      </c>
      <c r="S192" s="39" t="str">
        <f t="shared" si="45"/>
        <v/>
      </c>
      <c r="V192" s="12" t="str">
        <f t="shared" si="32"/>
        <v/>
      </c>
      <c r="W192" s="22" t="str">
        <f t="shared" si="46"/>
        <v/>
      </c>
    </row>
    <row r="193" spans="1:25" x14ac:dyDescent="0.25">
      <c r="A193" s="67">
        <v>178</v>
      </c>
      <c r="B193" s="49">
        <v>5</v>
      </c>
      <c r="C193" s="48"/>
      <c r="D193" s="48">
        <v>5</v>
      </c>
      <c r="E193" s="67">
        <v>7</v>
      </c>
      <c r="F193" s="67">
        <v>90614</v>
      </c>
      <c r="G193" s="12">
        <f t="shared" si="33"/>
        <v>0.3793287037037037</v>
      </c>
      <c r="H193" s="19" t="str">
        <f t="shared" si="34"/>
        <v/>
      </c>
      <c r="I193" s="19" t="str">
        <f t="shared" si="35"/>
        <v/>
      </c>
      <c r="J193" s="19" t="str">
        <f t="shared" si="36"/>
        <v/>
      </c>
      <c r="K193" s="19" t="str">
        <f t="shared" si="37"/>
        <v/>
      </c>
      <c r="L193" s="19" t="str">
        <f t="shared" si="38"/>
        <v/>
      </c>
      <c r="M193" s="19" t="str">
        <f t="shared" si="39"/>
        <v/>
      </c>
      <c r="N193" s="19">
        <f t="shared" si="40"/>
        <v>2.083333333333659E-4</v>
      </c>
      <c r="O193" s="19" t="str">
        <f t="shared" si="41"/>
        <v/>
      </c>
      <c r="P193" s="19" t="str">
        <f t="shared" si="42"/>
        <v/>
      </c>
      <c r="Q193" s="12">
        <f t="shared" si="43"/>
        <v>2.083333333333659E-4</v>
      </c>
      <c r="R193" s="39" t="str">
        <f t="shared" si="44"/>
        <v/>
      </c>
      <c r="S193" s="39" t="str">
        <f t="shared" si="45"/>
        <v/>
      </c>
      <c r="V193" s="12" t="str">
        <f t="shared" si="32"/>
        <v/>
      </c>
      <c r="W193" s="22" t="str">
        <f t="shared" si="46"/>
        <v/>
      </c>
    </row>
    <row r="194" spans="1:25" x14ac:dyDescent="0.25">
      <c r="A194" s="67">
        <v>179</v>
      </c>
      <c r="B194" s="49"/>
      <c r="C194" s="48"/>
      <c r="D194" s="48"/>
      <c r="E194" s="67">
        <v>1</v>
      </c>
      <c r="F194" s="67">
        <v>90758</v>
      </c>
      <c r="G194" s="12">
        <f t="shared" si="33"/>
        <v>0.3805324074074074</v>
      </c>
      <c r="H194" s="12">
        <f t="shared" si="34"/>
        <v>1.2037037037037068E-3</v>
      </c>
      <c r="I194" s="12" t="str">
        <f t="shared" si="35"/>
        <v/>
      </c>
      <c r="J194" s="12" t="str">
        <f t="shared" si="36"/>
        <v/>
      </c>
      <c r="K194" s="12" t="str">
        <f t="shared" si="37"/>
        <v/>
      </c>
      <c r="L194" s="12" t="str">
        <f t="shared" si="38"/>
        <v/>
      </c>
      <c r="M194" s="12" t="str">
        <f t="shared" si="39"/>
        <v/>
      </c>
      <c r="N194" s="12" t="str">
        <f t="shared" si="40"/>
        <v/>
      </c>
      <c r="O194" s="12" t="str">
        <f t="shared" si="41"/>
        <v/>
      </c>
      <c r="P194" s="12" t="str">
        <f t="shared" si="42"/>
        <v/>
      </c>
      <c r="Q194" s="12">
        <f t="shared" si="43"/>
        <v>1.2037037037037068E-3</v>
      </c>
      <c r="R194" s="39">
        <f t="shared" si="44"/>
        <v>1.7333333333333334</v>
      </c>
      <c r="S194" s="39">
        <f t="shared" si="45"/>
        <v>1.7333333333333334</v>
      </c>
      <c r="V194" s="12">
        <f t="shared" si="32"/>
        <v>1.2037037037037068E-3</v>
      </c>
      <c r="W194" s="22" t="str">
        <f t="shared" si="46"/>
        <v/>
      </c>
    </row>
    <row r="195" spans="1:25" x14ac:dyDescent="0.25">
      <c r="A195" s="67">
        <v>180</v>
      </c>
      <c r="B195" s="49"/>
      <c r="C195" s="48"/>
      <c r="D195" s="48"/>
      <c r="E195" s="67">
        <v>4</v>
      </c>
      <c r="F195" s="67">
        <v>90837</v>
      </c>
      <c r="G195" s="12">
        <f t="shared" si="33"/>
        <v>0.38098379629629631</v>
      </c>
      <c r="H195" s="12" t="str">
        <f t="shared" si="34"/>
        <v/>
      </c>
      <c r="I195" s="12" t="str">
        <f t="shared" si="35"/>
        <v/>
      </c>
      <c r="J195" s="12" t="str">
        <f t="shared" si="36"/>
        <v/>
      </c>
      <c r="K195" s="12">
        <f t="shared" si="37"/>
        <v>4.5138888888890394E-4</v>
      </c>
      <c r="L195" s="12" t="str">
        <f t="shared" si="38"/>
        <v/>
      </c>
      <c r="M195" s="12" t="str">
        <f t="shared" si="39"/>
        <v/>
      </c>
      <c r="N195" s="12" t="str">
        <f t="shared" si="40"/>
        <v/>
      </c>
      <c r="O195" s="12" t="str">
        <f t="shared" si="41"/>
        <v/>
      </c>
      <c r="P195" s="12" t="str">
        <f t="shared" si="42"/>
        <v/>
      </c>
      <c r="Q195" s="12">
        <f t="shared" si="43"/>
        <v>4.5138888888890394E-4</v>
      </c>
      <c r="R195" s="39" t="str">
        <f t="shared" si="44"/>
        <v/>
      </c>
      <c r="S195" s="39" t="str">
        <f t="shared" si="45"/>
        <v/>
      </c>
      <c r="V195" s="12" t="str">
        <f t="shared" si="32"/>
        <v/>
      </c>
      <c r="W195" s="22" t="str">
        <f t="shared" si="46"/>
        <v/>
      </c>
    </row>
    <row r="196" spans="1:25" x14ac:dyDescent="0.25">
      <c r="A196" s="67">
        <v>181</v>
      </c>
      <c r="B196" s="49">
        <v>10</v>
      </c>
      <c r="C196" s="48"/>
      <c r="D196" s="48">
        <v>5</v>
      </c>
      <c r="E196" s="67">
        <v>7</v>
      </c>
      <c r="F196" s="67">
        <v>90857</v>
      </c>
      <c r="G196" s="12">
        <f t="shared" si="33"/>
        <v>0.38121527777777775</v>
      </c>
      <c r="H196" s="12" t="str">
        <f t="shared" si="34"/>
        <v/>
      </c>
      <c r="I196" s="12" t="str">
        <f t="shared" si="35"/>
        <v/>
      </c>
      <c r="J196" s="12" t="str">
        <f t="shared" si="36"/>
        <v/>
      </c>
      <c r="K196" s="12" t="str">
        <f t="shared" si="37"/>
        <v/>
      </c>
      <c r="L196" s="12" t="str">
        <f t="shared" si="38"/>
        <v/>
      </c>
      <c r="M196" s="12" t="str">
        <f t="shared" si="39"/>
        <v/>
      </c>
      <c r="N196" s="12">
        <f t="shared" si="40"/>
        <v>2.3148148148144365E-4</v>
      </c>
      <c r="O196" s="12" t="str">
        <f t="shared" si="41"/>
        <v/>
      </c>
      <c r="P196" s="12" t="str">
        <f t="shared" si="42"/>
        <v/>
      </c>
      <c r="Q196" s="12">
        <f t="shared" si="43"/>
        <v>2.3148148148144365E-4</v>
      </c>
      <c r="R196" s="39" t="str">
        <f t="shared" si="44"/>
        <v/>
      </c>
      <c r="S196" s="39" t="str">
        <f t="shared" si="45"/>
        <v/>
      </c>
      <c r="V196" s="12" t="str">
        <f t="shared" si="32"/>
        <v/>
      </c>
      <c r="W196" s="22" t="str">
        <f t="shared" si="46"/>
        <v/>
      </c>
    </row>
    <row r="197" spans="1:25" x14ac:dyDescent="0.25">
      <c r="A197" s="67">
        <v>182</v>
      </c>
      <c r="B197" s="49"/>
      <c r="C197" s="48"/>
      <c r="D197" s="82"/>
      <c r="E197" s="67">
        <v>1</v>
      </c>
      <c r="F197" s="67">
        <v>91047</v>
      </c>
      <c r="G197" s="12">
        <f t="shared" si="33"/>
        <v>0.38248842592592597</v>
      </c>
      <c r="H197" s="12">
        <f t="shared" si="34"/>
        <v>1.2731481481482176E-3</v>
      </c>
      <c r="I197" s="12" t="str">
        <f t="shared" si="35"/>
        <v/>
      </c>
      <c r="J197" s="12" t="str">
        <f t="shared" si="36"/>
        <v/>
      </c>
      <c r="K197" s="12" t="str">
        <f t="shared" si="37"/>
        <v/>
      </c>
      <c r="L197" s="12" t="str">
        <f t="shared" si="38"/>
        <v/>
      </c>
      <c r="M197" s="12" t="str">
        <f t="shared" si="39"/>
        <v/>
      </c>
      <c r="N197" s="12" t="str">
        <f t="shared" si="40"/>
        <v/>
      </c>
      <c r="O197" s="12" t="str">
        <f t="shared" si="41"/>
        <v/>
      </c>
      <c r="P197" s="12" t="str">
        <f t="shared" si="42"/>
        <v/>
      </c>
      <c r="Q197" s="12">
        <f t="shared" si="43"/>
        <v>1.2731481481482176E-3</v>
      </c>
      <c r="R197" s="39">
        <f t="shared" si="44"/>
        <v>1.8333333333333335</v>
      </c>
      <c r="S197" s="39">
        <f t="shared" si="45"/>
        <v>1.8333333333333335</v>
      </c>
      <c r="V197" s="12">
        <f t="shared" si="32"/>
        <v>1.2731481481482176E-3</v>
      </c>
      <c r="W197" s="22" t="str">
        <f t="shared" si="46"/>
        <v/>
      </c>
    </row>
    <row r="198" spans="1:25" ht="13" x14ac:dyDescent="0.3">
      <c r="A198" s="67">
        <v>183</v>
      </c>
      <c r="B198" s="67"/>
      <c r="C198" s="67"/>
      <c r="D198" s="82"/>
      <c r="E198" s="67">
        <v>4</v>
      </c>
      <c r="F198" s="67">
        <v>91124</v>
      </c>
      <c r="G198" s="12">
        <f t="shared" si="33"/>
        <v>0.38291666666666663</v>
      </c>
      <c r="H198" s="12" t="str">
        <f t="shared" si="34"/>
        <v/>
      </c>
      <c r="I198" s="12" t="str">
        <f t="shared" si="35"/>
        <v/>
      </c>
      <c r="J198" s="12" t="str">
        <f t="shared" si="36"/>
        <v/>
      </c>
      <c r="K198" s="12">
        <f t="shared" si="37"/>
        <v>4.2824074074065965E-4</v>
      </c>
      <c r="L198" s="12" t="str">
        <f t="shared" si="38"/>
        <v/>
      </c>
      <c r="M198" s="12" t="str">
        <f t="shared" si="39"/>
        <v/>
      </c>
      <c r="N198" s="12" t="str">
        <f t="shared" si="40"/>
        <v/>
      </c>
      <c r="O198" s="12" t="str">
        <f t="shared" si="41"/>
        <v/>
      </c>
      <c r="P198" s="12" t="str">
        <f t="shared" si="42"/>
        <v/>
      </c>
      <c r="Q198" s="12">
        <f t="shared" si="43"/>
        <v>4.2824074074065965E-4</v>
      </c>
      <c r="R198" s="39" t="str">
        <f t="shared" si="44"/>
        <v/>
      </c>
      <c r="S198" s="39" t="str">
        <f t="shared" si="45"/>
        <v/>
      </c>
      <c r="V198" s="12" t="str">
        <f t="shared" si="32"/>
        <v/>
      </c>
      <c r="W198" s="22" t="str">
        <f t="shared" si="46"/>
        <v/>
      </c>
      <c r="X198" s="75"/>
      <c r="Y198" s="75"/>
    </row>
    <row r="199" spans="1:25" x14ac:dyDescent="0.25">
      <c r="A199" s="67">
        <v>184</v>
      </c>
      <c r="B199" s="67">
        <v>12</v>
      </c>
      <c r="C199" s="67"/>
      <c r="D199" s="48">
        <v>5</v>
      </c>
      <c r="E199" s="67">
        <v>7</v>
      </c>
      <c r="F199" s="67">
        <v>91143</v>
      </c>
      <c r="G199" s="12">
        <f t="shared" si="33"/>
        <v>0.38313657407407403</v>
      </c>
      <c r="H199" s="12" t="str">
        <f t="shared" si="34"/>
        <v/>
      </c>
      <c r="I199" s="12" t="str">
        <f t="shared" si="35"/>
        <v/>
      </c>
      <c r="J199" s="12" t="str">
        <f t="shared" si="36"/>
        <v/>
      </c>
      <c r="K199" s="12" t="str">
        <f t="shared" si="37"/>
        <v/>
      </c>
      <c r="L199" s="12" t="str">
        <f t="shared" si="38"/>
        <v/>
      </c>
      <c r="M199" s="12" t="str">
        <f t="shared" si="39"/>
        <v/>
      </c>
      <c r="N199" s="12">
        <f t="shared" si="40"/>
        <v>2.1990740740740478E-4</v>
      </c>
      <c r="O199" s="12" t="str">
        <f t="shared" si="41"/>
        <v/>
      </c>
      <c r="P199" s="12" t="str">
        <f t="shared" si="42"/>
        <v/>
      </c>
      <c r="Q199" s="12">
        <f t="shared" si="43"/>
        <v>2.1990740740740478E-4</v>
      </c>
      <c r="R199" s="39" t="str">
        <f t="shared" si="44"/>
        <v/>
      </c>
      <c r="S199" s="39" t="str">
        <f t="shared" si="45"/>
        <v/>
      </c>
      <c r="V199" s="12" t="str">
        <f t="shared" si="32"/>
        <v/>
      </c>
      <c r="W199" s="22" t="str">
        <f t="shared" si="46"/>
        <v/>
      </c>
    </row>
    <row r="200" spans="1:25" x14ac:dyDescent="0.25">
      <c r="A200" s="67">
        <v>185</v>
      </c>
      <c r="B200" s="49"/>
      <c r="C200" s="48"/>
      <c r="D200" s="48"/>
      <c r="E200" s="67">
        <v>1</v>
      </c>
      <c r="F200" s="67">
        <v>91324</v>
      </c>
      <c r="G200" s="12">
        <f t="shared" si="33"/>
        <v>0.38430555555555551</v>
      </c>
      <c r="H200" s="12">
        <f t="shared" si="34"/>
        <v>1.1689814814814792E-3</v>
      </c>
      <c r="I200" s="12" t="str">
        <f t="shared" si="35"/>
        <v/>
      </c>
      <c r="J200" s="12" t="str">
        <f t="shared" si="36"/>
        <v/>
      </c>
      <c r="K200" s="12" t="str">
        <f t="shared" si="37"/>
        <v/>
      </c>
      <c r="L200" s="12" t="str">
        <f t="shared" si="38"/>
        <v/>
      </c>
      <c r="M200" s="12" t="str">
        <f t="shared" si="39"/>
        <v/>
      </c>
      <c r="N200" s="12" t="str">
        <f t="shared" si="40"/>
        <v/>
      </c>
      <c r="O200" s="12" t="str">
        <f t="shared" si="41"/>
        <v/>
      </c>
      <c r="P200" s="12" t="str">
        <f t="shared" si="42"/>
        <v/>
      </c>
      <c r="Q200" s="12">
        <f t="shared" si="43"/>
        <v>1.1689814814814792E-3</v>
      </c>
      <c r="R200" s="39">
        <f t="shared" si="44"/>
        <v>1.6833333333333333</v>
      </c>
      <c r="S200" s="39">
        <f t="shared" si="45"/>
        <v>1.6833333333333333</v>
      </c>
      <c r="V200" s="12">
        <f t="shared" si="32"/>
        <v>1.1689814814814792E-3</v>
      </c>
      <c r="W200" s="22" t="str">
        <f t="shared" si="46"/>
        <v/>
      </c>
    </row>
    <row r="201" spans="1:25" x14ac:dyDescent="0.25">
      <c r="A201" s="67">
        <v>186</v>
      </c>
      <c r="B201" s="49"/>
      <c r="C201" s="48"/>
      <c r="D201" s="48"/>
      <c r="E201" s="67">
        <v>4</v>
      </c>
      <c r="F201" s="67">
        <v>91351</v>
      </c>
      <c r="G201" s="12">
        <f t="shared" si="33"/>
        <v>0.38461805555555556</v>
      </c>
      <c r="H201" s="12" t="str">
        <f t="shared" si="34"/>
        <v/>
      </c>
      <c r="I201" s="12" t="str">
        <f t="shared" si="35"/>
        <v/>
      </c>
      <c r="J201" s="12" t="str">
        <f t="shared" si="36"/>
        <v/>
      </c>
      <c r="K201" s="12">
        <f t="shared" si="37"/>
        <v>3.1250000000004885E-4</v>
      </c>
      <c r="L201" s="12" t="str">
        <f t="shared" si="38"/>
        <v/>
      </c>
      <c r="M201" s="12" t="str">
        <f t="shared" si="39"/>
        <v/>
      </c>
      <c r="N201" s="12" t="str">
        <f t="shared" si="40"/>
        <v/>
      </c>
      <c r="O201" s="12" t="str">
        <f t="shared" si="41"/>
        <v/>
      </c>
      <c r="P201" s="12" t="str">
        <f t="shared" si="42"/>
        <v/>
      </c>
      <c r="Q201" s="12">
        <f t="shared" si="43"/>
        <v>3.1250000000004885E-4</v>
      </c>
      <c r="R201" s="39" t="str">
        <f t="shared" si="44"/>
        <v/>
      </c>
      <c r="S201" s="39" t="str">
        <f t="shared" si="45"/>
        <v/>
      </c>
      <c r="V201" s="12" t="str">
        <f t="shared" si="32"/>
        <v/>
      </c>
      <c r="W201" s="22" t="str">
        <f t="shared" si="46"/>
        <v/>
      </c>
    </row>
    <row r="202" spans="1:25" x14ac:dyDescent="0.25">
      <c r="A202" s="67">
        <v>187</v>
      </c>
      <c r="B202" s="49"/>
      <c r="C202" s="48"/>
      <c r="D202" s="48"/>
      <c r="E202" s="67">
        <v>8</v>
      </c>
      <c r="F202" s="67">
        <v>91555</v>
      </c>
      <c r="G202" s="12">
        <f t="shared" si="33"/>
        <v>0.38605324074074071</v>
      </c>
      <c r="H202" s="12" t="str">
        <f t="shared" si="34"/>
        <v/>
      </c>
      <c r="I202" s="12" t="str">
        <f t="shared" si="35"/>
        <v/>
      </c>
      <c r="J202" s="12" t="str">
        <f t="shared" si="36"/>
        <v/>
      </c>
      <c r="K202" s="12" t="str">
        <f t="shared" si="37"/>
        <v/>
      </c>
      <c r="L202" s="12" t="str">
        <f t="shared" si="38"/>
        <v/>
      </c>
      <c r="M202" s="12" t="str">
        <f t="shared" si="39"/>
        <v/>
      </c>
      <c r="N202" s="12" t="str">
        <f t="shared" si="40"/>
        <v/>
      </c>
      <c r="O202" s="12">
        <f t="shared" si="41"/>
        <v>1.4351851851851505E-3</v>
      </c>
      <c r="P202" s="12" t="str">
        <f t="shared" si="42"/>
        <v/>
      </c>
      <c r="Q202" s="12">
        <f t="shared" si="43"/>
        <v>1.4351851851851505E-3</v>
      </c>
      <c r="R202" s="39" t="str">
        <f t="shared" si="44"/>
        <v/>
      </c>
      <c r="S202" s="39" t="str">
        <f t="shared" si="45"/>
        <v/>
      </c>
      <c r="V202" s="12" t="str">
        <f t="shared" si="32"/>
        <v/>
      </c>
      <c r="W202" s="22" t="str">
        <f t="shared" si="46"/>
        <v/>
      </c>
    </row>
    <row r="203" spans="1:25" x14ac:dyDescent="0.25">
      <c r="A203" s="67">
        <v>188</v>
      </c>
      <c r="B203" s="49">
        <v>7</v>
      </c>
      <c r="C203" s="48"/>
      <c r="D203" s="48">
        <v>5</v>
      </c>
      <c r="E203" s="67">
        <v>7</v>
      </c>
      <c r="F203" s="67">
        <v>91614</v>
      </c>
      <c r="G203" s="12">
        <f t="shared" si="33"/>
        <v>0.38627314814814812</v>
      </c>
      <c r="H203" s="12" t="str">
        <f t="shared" si="34"/>
        <v/>
      </c>
      <c r="I203" s="12" t="str">
        <f t="shared" si="35"/>
        <v/>
      </c>
      <c r="J203" s="12" t="str">
        <f t="shared" si="36"/>
        <v/>
      </c>
      <c r="K203" s="12" t="str">
        <f t="shared" si="37"/>
        <v/>
      </c>
      <c r="L203" s="12" t="str">
        <f t="shared" si="38"/>
        <v/>
      </c>
      <c r="M203" s="12" t="str">
        <f t="shared" si="39"/>
        <v/>
      </c>
      <c r="N203" s="12">
        <f t="shared" si="40"/>
        <v>2.1990740740740478E-4</v>
      </c>
      <c r="O203" s="12" t="str">
        <f t="shared" si="41"/>
        <v/>
      </c>
      <c r="P203" s="12" t="str">
        <f t="shared" si="42"/>
        <v/>
      </c>
      <c r="Q203" s="12">
        <f t="shared" si="43"/>
        <v>2.1990740740740478E-4</v>
      </c>
      <c r="R203" s="39" t="str">
        <f t="shared" si="44"/>
        <v/>
      </c>
      <c r="S203" s="39" t="str">
        <f t="shared" si="45"/>
        <v/>
      </c>
      <c r="V203" s="12" t="str">
        <f t="shared" si="32"/>
        <v/>
      </c>
      <c r="W203" s="22" t="str">
        <f t="shared" si="46"/>
        <v/>
      </c>
    </row>
    <row r="204" spans="1:25" x14ac:dyDescent="0.25">
      <c r="A204" s="67">
        <v>189</v>
      </c>
      <c r="B204" s="49"/>
      <c r="C204" s="48"/>
      <c r="D204" s="48"/>
      <c r="E204" s="67">
        <v>1</v>
      </c>
      <c r="F204" s="67">
        <v>91754</v>
      </c>
      <c r="G204" s="12">
        <f t="shared" si="33"/>
        <v>0.38743055555555556</v>
      </c>
      <c r="H204" s="12">
        <f t="shared" si="34"/>
        <v>1.1574074074074403E-3</v>
      </c>
      <c r="I204" s="12" t="str">
        <f t="shared" si="35"/>
        <v/>
      </c>
      <c r="J204" s="12" t="str">
        <f t="shared" si="36"/>
        <v/>
      </c>
      <c r="K204" s="12" t="str">
        <f t="shared" si="37"/>
        <v/>
      </c>
      <c r="L204" s="12" t="str">
        <f t="shared" si="38"/>
        <v/>
      </c>
      <c r="M204" s="12" t="str">
        <f t="shared" si="39"/>
        <v/>
      </c>
      <c r="N204" s="12" t="str">
        <f t="shared" si="40"/>
        <v/>
      </c>
      <c r="O204" s="12" t="str">
        <f t="shared" si="41"/>
        <v/>
      </c>
      <c r="P204" s="12" t="str">
        <f t="shared" si="42"/>
        <v/>
      </c>
      <c r="Q204" s="12">
        <f t="shared" si="43"/>
        <v>1.1574074074074403E-3</v>
      </c>
      <c r="R204" s="39">
        <f t="shared" si="44"/>
        <v>1.6666666666666665</v>
      </c>
      <c r="S204" s="39">
        <f t="shared" si="45"/>
        <v>1.6666666666666665</v>
      </c>
      <c r="V204" s="12">
        <f t="shared" si="32"/>
        <v>1.1574074074074403E-3</v>
      </c>
      <c r="W204" s="22" t="str">
        <f t="shared" si="46"/>
        <v/>
      </c>
    </row>
    <row r="205" spans="1:25" x14ac:dyDescent="0.25">
      <c r="A205" s="67">
        <v>190</v>
      </c>
      <c r="B205" s="49"/>
      <c r="C205" s="48"/>
      <c r="D205" s="48"/>
      <c r="E205" s="67">
        <v>4</v>
      </c>
      <c r="F205" s="67">
        <v>91855</v>
      </c>
      <c r="G205" s="12">
        <f t="shared" si="33"/>
        <v>0.38813657407407409</v>
      </c>
      <c r="H205" s="12" t="str">
        <f t="shared" si="34"/>
        <v/>
      </c>
      <c r="I205" s="12" t="str">
        <f t="shared" si="35"/>
        <v/>
      </c>
      <c r="J205" s="12" t="str">
        <f t="shared" si="36"/>
        <v/>
      </c>
      <c r="K205" s="12">
        <f t="shared" si="37"/>
        <v>7.0601851851853636E-4</v>
      </c>
      <c r="L205" s="12" t="str">
        <f t="shared" si="38"/>
        <v/>
      </c>
      <c r="M205" s="12" t="str">
        <f t="shared" si="39"/>
        <v/>
      </c>
      <c r="N205" s="12" t="str">
        <f t="shared" si="40"/>
        <v/>
      </c>
      <c r="O205" s="12" t="str">
        <f t="shared" si="41"/>
        <v/>
      </c>
      <c r="P205" s="12" t="str">
        <f t="shared" si="42"/>
        <v/>
      </c>
      <c r="Q205" s="12">
        <f t="shared" si="43"/>
        <v>7.0601851851853636E-4</v>
      </c>
      <c r="R205" s="39" t="str">
        <f t="shared" si="44"/>
        <v/>
      </c>
      <c r="S205" s="39" t="str">
        <f t="shared" si="45"/>
        <v/>
      </c>
      <c r="V205" s="12" t="str">
        <f t="shared" si="32"/>
        <v/>
      </c>
      <c r="W205" s="22" t="str">
        <f t="shared" si="46"/>
        <v/>
      </c>
    </row>
    <row r="206" spans="1:25" x14ac:dyDescent="0.25">
      <c r="A206" s="67">
        <v>191</v>
      </c>
      <c r="B206" s="49">
        <v>8</v>
      </c>
      <c r="C206" s="48"/>
      <c r="D206" s="48">
        <v>5</v>
      </c>
      <c r="E206" s="67">
        <v>7</v>
      </c>
      <c r="F206" s="67">
        <v>91940</v>
      </c>
      <c r="G206" s="12">
        <f t="shared" si="33"/>
        <v>0.3886574074074074</v>
      </c>
      <c r="H206" s="12" t="str">
        <f t="shared" si="34"/>
        <v/>
      </c>
      <c r="I206" s="12" t="str">
        <f t="shared" si="35"/>
        <v/>
      </c>
      <c r="J206" s="12" t="str">
        <f t="shared" si="36"/>
        <v/>
      </c>
      <c r="K206" s="12" t="str">
        <f t="shared" si="37"/>
        <v/>
      </c>
      <c r="L206" s="12" t="str">
        <f t="shared" si="38"/>
        <v/>
      </c>
      <c r="M206" s="12" t="str">
        <f t="shared" si="39"/>
        <v/>
      </c>
      <c r="N206" s="12">
        <f t="shared" si="40"/>
        <v>5.2083333333330373E-4</v>
      </c>
      <c r="O206" s="12" t="str">
        <f t="shared" si="41"/>
        <v/>
      </c>
      <c r="P206" s="12" t="str">
        <f t="shared" si="42"/>
        <v/>
      </c>
      <c r="Q206" s="12">
        <f t="shared" si="43"/>
        <v>5.2083333333330373E-4</v>
      </c>
      <c r="R206" s="39" t="str">
        <f t="shared" si="44"/>
        <v/>
      </c>
      <c r="S206" s="39" t="str">
        <f t="shared" si="45"/>
        <v/>
      </c>
      <c r="V206" s="12" t="str">
        <f t="shared" si="32"/>
        <v/>
      </c>
      <c r="W206" s="22" t="str">
        <f t="shared" si="46"/>
        <v/>
      </c>
    </row>
    <row r="207" spans="1:25" x14ac:dyDescent="0.25">
      <c r="A207" s="67">
        <v>192</v>
      </c>
      <c r="B207" s="49"/>
      <c r="C207" s="48"/>
      <c r="D207" s="48"/>
      <c r="E207" s="67">
        <v>1</v>
      </c>
      <c r="F207" s="67">
        <v>92115</v>
      </c>
      <c r="G207" s="12">
        <f t="shared" si="33"/>
        <v>0.38975694444444442</v>
      </c>
      <c r="H207" s="12">
        <f t="shared" si="34"/>
        <v>1.0995370370370239E-3</v>
      </c>
      <c r="I207" s="12" t="str">
        <f t="shared" si="35"/>
        <v/>
      </c>
      <c r="J207" s="12" t="str">
        <f t="shared" si="36"/>
        <v/>
      </c>
      <c r="K207" s="12" t="str">
        <f t="shared" si="37"/>
        <v/>
      </c>
      <c r="L207" s="12" t="str">
        <f t="shared" si="38"/>
        <v/>
      </c>
      <c r="M207" s="12" t="str">
        <f t="shared" si="39"/>
        <v/>
      </c>
      <c r="N207" s="12" t="str">
        <f t="shared" si="40"/>
        <v/>
      </c>
      <c r="O207" s="12" t="str">
        <f t="shared" si="41"/>
        <v/>
      </c>
      <c r="P207" s="12" t="str">
        <f t="shared" si="42"/>
        <v/>
      </c>
      <c r="Q207" s="12">
        <f t="shared" si="43"/>
        <v>1.0995370370370239E-3</v>
      </c>
      <c r="R207" s="39">
        <f t="shared" si="44"/>
        <v>1.5833333333333335</v>
      </c>
      <c r="S207" s="39">
        <f t="shared" si="45"/>
        <v>1.5833333333333335</v>
      </c>
      <c r="V207" s="12">
        <f t="shared" si="32"/>
        <v>1.0995370370370239E-3</v>
      </c>
      <c r="W207" s="22" t="str">
        <f t="shared" si="46"/>
        <v/>
      </c>
    </row>
    <row r="208" spans="1:25" x14ac:dyDescent="0.25">
      <c r="A208" s="67">
        <v>193</v>
      </c>
      <c r="B208" s="49"/>
      <c r="C208" s="48"/>
      <c r="D208" s="48"/>
      <c r="E208" s="67">
        <v>4</v>
      </c>
      <c r="F208" s="67">
        <v>92157</v>
      </c>
      <c r="G208" s="12">
        <f t="shared" si="33"/>
        <v>0.39024305555555555</v>
      </c>
      <c r="H208" s="12" t="str">
        <f t="shared" si="34"/>
        <v/>
      </c>
      <c r="I208" s="12" t="str">
        <f t="shared" si="35"/>
        <v/>
      </c>
      <c r="J208" s="12" t="str">
        <f t="shared" si="36"/>
        <v/>
      </c>
      <c r="K208" s="12">
        <f t="shared" si="37"/>
        <v>4.8611111111113159E-4</v>
      </c>
      <c r="L208" s="12" t="str">
        <f t="shared" si="38"/>
        <v/>
      </c>
      <c r="M208" s="12" t="str">
        <f t="shared" si="39"/>
        <v/>
      </c>
      <c r="N208" s="12" t="str">
        <f t="shared" si="40"/>
        <v/>
      </c>
      <c r="O208" s="12" t="str">
        <f t="shared" si="41"/>
        <v/>
      </c>
      <c r="P208" s="12" t="str">
        <f t="shared" si="42"/>
        <v/>
      </c>
      <c r="Q208" s="12">
        <f t="shared" si="43"/>
        <v>4.8611111111113159E-4</v>
      </c>
      <c r="R208" s="39" t="str">
        <f t="shared" si="44"/>
        <v/>
      </c>
      <c r="S208" s="39" t="str">
        <f t="shared" si="45"/>
        <v/>
      </c>
      <c r="V208" s="12" t="str">
        <f t="shared" si="32"/>
        <v/>
      </c>
      <c r="W208" s="22" t="str">
        <f t="shared" si="46"/>
        <v/>
      </c>
    </row>
    <row r="209" spans="1:23" x14ac:dyDescent="0.25">
      <c r="A209" s="67">
        <v>194</v>
      </c>
      <c r="B209" s="49">
        <v>9</v>
      </c>
      <c r="C209" s="48"/>
      <c r="D209" s="82">
        <v>5</v>
      </c>
      <c r="E209" s="67">
        <v>7</v>
      </c>
      <c r="F209" s="67">
        <v>92232</v>
      </c>
      <c r="G209" s="12">
        <f t="shared" si="33"/>
        <v>0.39064814814814813</v>
      </c>
      <c r="H209" s="12" t="str">
        <f t="shared" si="34"/>
        <v/>
      </c>
      <c r="I209" s="12" t="str">
        <f t="shared" si="35"/>
        <v/>
      </c>
      <c r="J209" s="12" t="str">
        <f t="shared" si="36"/>
        <v/>
      </c>
      <c r="K209" s="12" t="str">
        <f t="shared" si="37"/>
        <v/>
      </c>
      <c r="L209" s="12" t="str">
        <f t="shared" si="38"/>
        <v/>
      </c>
      <c r="M209" s="12" t="str">
        <f t="shared" si="39"/>
        <v/>
      </c>
      <c r="N209" s="12">
        <f t="shared" si="40"/>
        <v>4.050925925925819E-4</v>
      </c>
      <c r="O209" s="12" t="str">
        <f t="shared" si="41"/>
        <v/>
      </c>
      <c r="P209" s="12" t="str">
        <f t="shared" si="42"/>
        <v/>
      </c>
      <c r="Q209" s="12">
        <f t="shared" si="43"/>
        <v>4.050925925925819E-4</v>
      </c>
      <c r="R209" s="39" t="str">
        <f t="shared" si="44"/>
        <v/>
      </c>
      <c r="S209" s="39" t="str">
        <f t="shared" si="45"/>
        <v/>
      </c>
      <c r="V209" s="12" t="str">
        <f t="shared" ref="V209:V272" si="47">H209</f>
        <v/>
      </c>
      <c r="W209" s="22" t="str">
        <f t="shared" si="46"/>
        <v/>
      </c>
    </row>
    <row r="210" spans="1:23" x14ac:dyDescent="0.25">
      <c r="A210" s="67">
        <v>195</v>
      </c>
      <c r="B210" s="67"/>
      <c r="C210" s="67"/>
      <c r="D210" s="82"/>
      <c r="E210" s="67">
        <v>1</v>
      </c>
      <c r="F210" s="67">
        <v>92411</v>
      </c>
      <c r="G210" s="12">
        <f t="shared" si="33"/>
        <v>0.39179398148148148</v>
      </c>
      <c r="H210" s="12">
        <f t="shared" ref="H210:H273" si="48">IFERROR(IF(E210=1,Q210,""),"")</f>
        <v>1.1458333333333459E-3</v>
      </c>
      <c r="I210" s="12" t="str">
        <f t="shared" ref="I210:I273" si="49">IFERROR(IF(E210=2,Q210,""),"")</f>
        <v/>
      </c>
      <c r="J210" s="12" t="str">
        <f t="shared" ref="J210:J273" si="50">IFERROR(IF(E210=3,Q210,""),"")</f>
        <v/>
      </c>
      <c r="K210" s="12" t="str">
        <f t="shared" ref="K210:K273" si="51">IFERROR(IF(E210=4,Q210,""),"")</f>
        <v/>
      </c>
      <c r="L210" s="12" t="str">
        <f t="shared" ref="L210:L273" si="52">IFERROR(IF(E210=5,Q210,""),"")</f>
        <v/>
      </c>
      <c r="M210" s="12" t="str">
        <f t="shared" ref="M210:M273" si="53">IFERROR(IF(E210=6,Q210,""),"")</f>
        <v/>
      </c>
      <c r="N210" s="12" t="str">
        <f t="shared" ref="N210:N273" si="54">IFERROR(IF(E210=7,Q210,""),"")</f>
        <v/>
      </c>
      <c r="O210" s="12" t="str">
        <f t="shared" ref="O210:O273" si="55">IFERROR(IF(E210=8,Q210,""),"")</f>
        <v/>
      </c>
      <c r="P210" s="12" t="str">
        <f t="shared" ref="P210:P273" si="56">IFERROR(IF(E210=9,Q210,""),"")</f>
        <v/>
      </c>
      <c r="Q210" s="12">
        <f t="shared" si="43"/>
        <v>1.1458333333333459E-3</v>
      </c>
      <c r="R210" s="39">
        <f t="shared" si="44"/>
        <v>1.65</v>
      </c>
      <c r="S210" s="39">
        <f t="shared" si="45"/>
        <v>1.65</v>
      </c>
      <c r="V210" s="12">
        <f t="shared" si="47"/>
        <v>1.1458333333333459E-3</v>
      </c>
      <c r="W210" s="22" t="str">
        <f t="shared" si="46"/>
        <v/>
      </c>
    </row>
    <row r="211" spans="1:23" x14ac:dyDescent="0.25">
      <c r="A211" s="67">
        <v>196</v>
      </c>
      <c r="B211" s="67"/>
      <c r="C211" s="67"/>
      <c r="D211" s="48"/>
      <c r="E211" s="67">
        <v>4</v>
      </c>
      <c r="F211" s="67">
        <v>92438</v>
      </c>
      <c r="G211" s="12">
        <f t="shared" si="33"/>
        <v>0.39210648148148147</v>
      </c>
      <c r="H211" s="12" t="str">
        <f t="shared" si="48"/>
        <v/>
      </c>
      <c r="I211" s="12" t="str">
        <f t="shared" si="49"/>
        <v/>
      </c>
      <c r="J211" s="12" t="str">
        <f t="shared" si="50"/>
        <v/>
      </c>
      <c r="K211" s="12">
        <f t="shared" si="51"/>
        <v>3.1249999999999334E-4</v>
      </c>
      <c r="L211" s="12" t="str">
        <f t="shared" si="52"/>
        <v/>
      </c>
      <c r="M211" s="12" t="str">
        <f t="shared" si="53"/>
        <v/>
      </c>
      <c r="N211" s="12" t="str">
        <f t="shared" si="54"/>
        <v/>
      </c>
      <c r="O211" s="12" t="str">
        <f t="shared" si="55"/>
        <v/>
      </c>
      <c r="P211" s="12" t="str">
        <f t="shared" si="56"/>
        <v/>
      </c>
      <c r="Q211" s="12">
        <f t="shared" ref="Q211:Q274" si="57">G211-G210</f>
        <v>3.1249999999999334E-4</v>
      </c>
      <c r="R211" s="39" t="str">
        <f t="shared" si="44"/>
        <v/>
      </c>
      <c r="S211" s="39" t="str">
        <f t="shared" si="45"/>
        <v/>
      </c>
      <c r="V211" s="12" t="str">
        <f t="shared" si="47"/>
        <v/>
      </c>
      <c r="W211" s="22" t="str">
        <f t="shared" si="46"/>
        <v/>
      </c>
    </row>
    <row r="212" spans="1:23" x14ac:dyDescent="0.25">
      <c r="A212" s="67">
        <v>197</v>
      </c>
      <c r="B212" s="49">
        <v>5</v>
      </c>
      <c r="C212" s="48"/>
      <c r="D212" s="48">
        <v>5</v>
      </c>
      <c r="E212" s="67">
        <v>7</v>
      </c>
      <c r="F212" s="67">
        <v>92510</v>
      </c>
      <c r="G212" s="12">
        <f t="shared" si="33"/>
        <v>0.39247685185185183</v>
      </c>
      <c r="H212" s="12" t="str">
        <f t="shared" si="48"/>
        <v/>
      </c>
      <c r="I212" s="12" t="str">
        <f t="shared" si="49"/>
        <v/>
      </c>
      <c r="J212" s="12" t="str">
        <f t="shared" si="50"/>
        <v/>
      </c>
      <c r="K212" s="12" t="str">
        <f t="shared" si="51"/>
        <v/>
      </c>
      <c r="L212" s="12" t="str">
        <f t="shared" si="52"/>
        <v/>
      </c>
      <c r="M212" s="12" t="str">
        <f t="shared" si="53"/>
        <v/>
      </c>
      <c r="N212" s="12">
        <f t="shared" si="54"/>
        <v>3.7037037037035425E-4</v>
      </c>
      <c r="O212" s="12" t="str">
        <f t="shared" si="55"/>
        <v/>
      </c>
      <c r="P212" s="12" t="str">
        <f t="shared" si="56"/>
        <v/>
      </c>
      <c r="Q212" s="12">
        <f t="shared" si="57"/>
        <v>3.7037037037035425E-4</v>
      </c>
      <c r="R212" s="39" t="str">
        <f t="shared" ref="R212:R275" si="58">IF(H212="","",HOUR(H212)*60+MINUTE(H212)+SECOND(H212)/60)</f>
        <v/>
      </c>
      <c r="S212" s="39" t="str">
        <f t="shared" si="45"/>
        <v/>
      </c>
      <c r="V212" s="12" t="str">
        <f t="shared" si="47"/>
        <v/>
      </c>
      <c r="W212" s="22" t="str">
        <f t="shared" si="46"/>
        <v/>
      </c>
    </row>
    <row r="213" spans="1:23" x14ac:dyDescent="0.25">
      <c r="A213" s="67">
        <v>198</v>
      </c>
      <c r="B213" s="49"/>
      <c r="C213" s="48"/>
      <c r="D213" s="48"/>
      <c r="E213" s="67">
        <v>1</v>
      </c>
      <c r="F213" s="67">
        <v>92654</v>
      </c>
      <c r="G213" s="12">
        <f t="shared" si="33"/>
        <v>0.39368055555555559</v>
      </c>
      <c r="H213" s="12">
        <f t="shared" si="48"/>
        <v>1.2037037037037623E-3</v>
      </c>
      <c r="I213" s="12" t="str">
        <f t="shared" si="49"/>
        <v/>
      </c>
      <c r="J213" s="12" t="str">
        <f t="shared" si="50"/>
        <v/>
      </c>
      <c r="K213" s="12" t="str">
        <f t="shared" si="51"/>
        <v/>
      </c>
      <c r="L213" s="12" t="str">
        <f t="shared" si="52"/>
        <v/>
      </c>
      <c r="M213" s="12" t="str">
        <f t="shared" si="53"/>
        <v/>
      </c>
      <c r="N213" s="12" t="str">
        <f t="shared" si="54"/>
        <v/>
      </c>
      <c r="O213" s="12" t="str">
        <f t="shared" si="55"/>
        <v/>
      </c>
      <c r="P213" s="12" t="str">
        <f t="shared" si="56"/>
        <v/>
      </c>
      <c r="Q213" s="12">
        <f t="shared" si="57"/>
        <v>1.2037037037037623E-3</v>
      </c>
      <c r="R213" s="39">
        <f t="shared" si="58"/>
        <v>1.7333333333333334</v>
      </c>
      <c r="S213" s="39">
        <f t="shared" si="45"/>
        <v>1.7333333333333334</v>
      </c>
      <c r="V213" s="12">
        <f t="shared" si="47"/>
        <v>1.2037037037037623E-3</v>
      </c>
      <c r="W213" s="22" t="str">
        <f t="shared" si="46"/>
        <v/>
      </c>
    </row>
    <row r="214" spans="1:23" x14ac:dyDescent="0.25">
      <c r="A214" s="67">
        <v>199</v>
      </c>
      <c r="B214" s="49"/>
      <c r="C214" s="48"/>
      <c r="D214" s="48"/>
      <c r="E214" s="67">
        <v>4</v>
      </c>
      <c r="F214" s="67">
        <v>92733</v>
      </c>
      <c r="G214" s="12">
        <f t="shared" si="33"/>
        <v>0.39413194444444444</v>
      </c>
      <c r="H214" s="12" t="str">
        <f t="shared" si="48"/>
        <v/>
      </c>
      <c r="I214" s="12" t="str">
        <f t="shared" si="49"/>
        <v/>
      </c>
      <c r="J214" s="12" t="str">
        <f t="shared" si="50"/>
        <v/>
      </c>
      <c r="K214" s="12">
        <f t="shared" si="51"/>
        <v>4.5138888888884843E-4</v>
      </c>
      <c r="L214" s="12" t="str">
        <f t="shared" si="52"/>
        <v/>
      </c>
      <c r="M214" s="12" t="str">
        <f t="shared" si="53"/>
        <v/>
      </c>
      <c r="N214" s="12" t="str">
        <f t="shared" si="54"/>
        <v/>
      </c>
      <c r="O214" s="12" t="str">
        <f t="shared" si="55"/>
        <v/>
      </c>
      <c r="P214" s="12" t="str">
        <f t="shared" si="56"/>
        <v/>
      </c>
      <c r="Q214" s="12">
        <f t="shared" si="57"/>
        <v>4.5138888888884843E-4</v>
      </c>
      <c r="R214" s="39" t="str">
        <f t="shared" si="58"/>
        <v/>
      </c>
      <c r="S214" s="39" t="str">
        <f t="shared" si="45"/>
        <v/>
      </c>
      <c r="V214" s="12" t="str">
        <f t="shared" si="47"/>
        <v/>
      </c>
      <c r="W214" s="22" t="str">
        <f t="shared" si="46"/>
        <v/>
      </c>
    </row>
    <row r="215" spans="1:23" x14ac:dyDescent="0.25">
      <c r="A215" s="67">
        <v>200</v>
      </c>
      <c r="B215" s="49">
        <v>10</v>
      </c>
      <c r="C215" s="48"/>
      <c r="D215" s="48">
        <v>5</v>
      </c>
      <c r="E215" s="67">
        <v>7</v>
      </c>
      <c r="F215" s="67">
        <v>92751</v>
      </c>
      <c r="G215" s="12">
        <f t="shared" si="33"/>
        <v>0.3943402777777778</v>
      </c>
      <c r="H215" s="12" t="str">
        <f t="shared" si="48"/>
        <v/>
      </c>
      <c r="I215" s="12" t="str">
        <f t="shared" si="49"/>
        <v/>
      </c>
      <c r="J215" s="12" t="str">
        <f t="shared" si="50"/>
        <v/>
      </c>
      <c r="K215" s="12" t="str">
        <f t="shared" si="51"/>
        <v/>
      </c>
      <c r="L215" s="12" t="str">
        <f t="shared" si="52"/>
        <v/>
      </c>
      <c r="M215" s="12" t="str">
        <f t="shared" si="53"/>
        <v/>
      </c>
      <c r="N215" s="12">
        <f t="shared" si="54"/>
        <v>2.083333333333659E-4</v>
      </c>
      <c r="O215" s="12" t="str">
        <f t="shared" si="55"/>
        <v/>
      </c>
      <c r="P215" s="12" t="str">
        <f t="shared" si="56"/>
        <v/>
      </c>
      <c r="Q215" s="12">
        <f t="shared" si="57"/>
        <v>2.083333333333659E-4</v>
      </c>
      <c r="R215" s="39" t="str">
        <f t="shared" si="58"/>
        <v/>
      </c>
      <c r="S215" s="39" t="str">
        <f t="shared" si="45"/>
        <v/>
      </c>
      <c r="V215" s="12" t="str">
        <f t="shared" si="47"/>
        <v/>
      </c>
      <c r="W215" s="22" t="str">
        <f t="shared" si="46"/>
        <v/>
      </c>
    </row>
    <row r="216" spans="1:23" x14ac:dyDescent="0.25">
      <c r="A216" s="67">
        <v>201</v>
      </c>
      <c r="B216" s="49"/>
      <c r="C216" s="48"/>
      <c r="D216" s="48"/>
      <c r="E216" s="67">
        <v>1</v>
      </c>
      <c r="F216" s="67">
        <v>92927</v>
      </c>
      <c r="G216" s="12">
        <f t="shared" si="33"/>
        <v>0.39545138888888887</v>
      </c>
      <c r="H216" s="12">
        <f t="shared" si="48"/>
        <v>1.1111111111110628E-3</v>
      </c>
      <c r="I216" s="12" t="str">
        <f t="shared" si="49"/>
        <v/>
      </c>
      <c r="J216" s="12" t="str">
        <f t="shared" si="50"/>
        <v/>
      </c>
      <c r="K216" s="12" t="str">
        <f t="shared" si="51"/>
        <v/>
      </c>
      <c r="L216" s="12" t="str">
        <f t="shared" si="52"/>
        <v/>
      </c>
      <c r="M216" s="12" t="str">
        <f t="shared" si="53"/>
        <v/>
      </c>
      <c r="N216" s="12" t="str">
        <f t="shared" si="54"/>
        <v/>
      </c>
      <c r="O216" s="12" t="str">
        <f t="shared" si="55"/>
        <v/>
      </c>
      <c r="P216" s="12" t="str">
        <f t="shared" si="56"/>
        <v/>
      </c>
      <c r="Q216" s="12">
        <f t="shared" si="57"/>
        <v>1.1111111111110628E-3</v>
      </c>
      <c r="R216" s="39">
        <f t="shared" si="58"/>
        <v>1.6</v>
      </c>
      <c r="S216" s="39">
        <f t="shared" si="45"/>
        <v>1.6</v>
      </c>
      <c r="V216" s="12">
        <f t="shared" si="47"/>
        <v>1.1111111111110628E-3</v>
      </c>
      <c r="W216" s="22" t="str">
        <f t="shared" si="46"/>
        <v/>
      </c>
    </row>
    <row r="217" spans="1:23" x14ac:dyDescent="0.25">
      <c r="A217" s="67">
        <v>202</v>
      </c>
      <c r="B217" s="49"/>
      <c r="C217" s="48"/>
      <c r="D217" s="48"/>
      <c r="E217" s="67">
        <v>4</v>
      </c>
      <c r="F217" s="67">
        <v>92955</v>
      </c>
      <c r="G217" s="12">
        <f t="shared" si="33"/>
        <v>0.39577546296296301</v>
      </c>
      <c r="H217" s="12" t="str">
        <f t="shared" si="48"/>
        <v/>
      </c>
      <c r="I217" s="12" t="str">
        <f t="shared" si="49"/>
        <v/>
      </c>
      <c r="J217" s="12" t="str">
        <f t="shared" si="50"/>
        <v/>
      </c>
      <c r="K217" s="12">
        <f t="shared" si="51"/>
        <v>3.2407407407414324E-4</v>
      </c>
      <c r="L217" s="12" t="str">
        <f t="shared" si="52"/>
        <v/>
      </c>
      <c r="M217" s="12" t="str">
        <f t="shared" si="53"/>
        <v/>
      </c>
      <c r="N217" s="12" t="str">
        <f t="shared" si="54"/>
        <v/>
      </c>
      <c r="O217" s="12" t="str">
        <f t="shared" si="55"/>
        <v/>
      </c>
      <c r="P217" s="12" t="str">
        <f t="shared" si="56"/>
        <v/>
      </c>
      <c r="Q217" s="12">
        <f t="shared" si="57"/>
        <v>3.2407407407414324E-4</v>
      </c>
      <c r="R217" s="39" t="str">
        <f t="shared" si="58"/>
        <v/>
      </c>
      <c r="S217" s="39" t="str">
        <f t="shared" si="45"/>
        <v/>
      </c>
      <c r="V217" s="12" t="str">
        <f t="shared" si="47"/>
        <v/>
      </c>
      <c r="W217" s="22" t="str">
        <f t="shared" si="46"/>
        <v/>
      </c>
    </row>
    <row r="218" spans="1:23" x14ac:dyDescent="0.25">
      <c r="A218" s="67">
        <v>203</v>
      </c>
      <c r="B218" s="49">
        <v>12</v>
      </c>
      <c r="C218" s="48"/>
      <c r="D218" s="48">
        <v>5</v>
      </c>
      <c r="E218" s="67">
        <v>7</v>
      </c>
      <c r="F218" s="67">
        <v>93015</v>
      </c>
      <c r="G218" s="12">
        <f t="shared" si="33"/>
        <v>0.39600694444444445</v>
      </c>
      <c r="H218" s="12" t="str">
        <f t="shared" si="48"/>
        <v/>
      </c>
      <c r="I218" s="12" t="str">
        <f t="shared" si="49"/>
        <v/>
      </c>
      <c r="J218" s="12" t="str">
        <f t="shared" si="50"/>
        <v/>
      </c>
      <c r="K218" s="12" t="str">
        <f t="shared" si="51"/>
        <v/>
      </c>
      <c r="L218" s="12" t="str">
        <f t="shared" si="52"/>
        <v/>
      </c>
      <c r="M218" s="12" t="str">
        <f t="shared" si="53"/>
        <v/>
      </c>
      <c r="N218" s="12">
        <f t="shared" si="54"/>
        <v>2.3148148148144365E-4</v>
      </c>
      <c r="O218" s="12" t="str">
        <f t="shared" si="55"/>
        <v/>
      </c>
      <c r="P218" s="12" t="str">
        <f t="shared" si="56"/>
        <v/>
      </c>
      <c r="Q218" s="12">
        <f t="shared" si="57"/>
        <v>2.3148148148144365E-4</v>
      </c>
      <c r="R218" s="39" t="str">
        <f t="shared" si="58"/>
        <v/>
      </c>
      <c r="S218" s="39" t="str">
        <f t="shared" si="45"/>
        <v/>
      </c>
      <c r="V218" s="12" t="str">
        <f t="shared" si="47"/>
        <v/>
      </c>
      <c r="W218" s="22" t="str">
        <f t="shared" si="46"/>
        <v/>
      </c>
    </row>
    <row r="219" spans="1:23" x14ac:dyDescent="0.25">
      <c r="A219" s="67">
        <v>204</v>
      </c>
      <c r="B219" s="49"/>
      <c r="C219" s="48"/>
      <c r="D219" s="48"/>
      <c r="E219" s="67">
        <v>1</v>
      </c>
      <c r="F219" s="67">
        <v>93157</v>
      </c>
      <c r="G219" s="12">
        <f t="shared" si="33"/>
        <v>0.39718750000000003</v>
      </c>
      <c r="H219" s="12">
        <f t="shared" si="48"/>
        <v>1.1805555555555736E-3</v>
      </c>
      <c r="I219" s="12" t="str">
        <f t="shared" si="49"/>
        <v/>
      </c>
      <c r="J219" s="12" t="str">
        <f t="shared" si="50"/>
        <v/>
      </c>
      <c r="K219" s="12" t="str">
        <f t="shared" si="51"/>
        <v/>
      </c>
      <c r="L219" s="12" t="str">
        <f t="shared" si="52"/>
        <v/>
      </c>
      <c r="M219" s="12" t="str">
        <f t="shared" si="53"/>
        <v/>
      </c>
      <c r="N219" s="12" t="str">
        <f t="shared" si="54"/>
        <v/>
      </c>
      <c r="O219" s="12" t="str">
        <f t="shared" si="55"/>
        <v/>
      </c>
      <c r="P219" s="12" t="str">
        <f t="shared" si="56"/>
        <v/>
      </c>
      <c r="Q219" s="12">
        <f t="shared" si="57"/>
        <v>1.1805555555555736E-3</v>
      </c>
      <c r="R219" s="39">
        <f t="shared" si="58"/>
        <v>1.7</v>
      </c>
      <c r="S219" s="39">
        <f t="shared" si="45"/>
        <v>1.7</v>
      </c>
      <c r="V219" s="12">
        <f t="shared" si="47"/>
        <v>1.1805555555555736E-3</v>
      </c>
      <c r="W219" s="22" t="str">
        <f t="shared" si="46"/>
        <v/>
      </c>
    </row>
    <row r="220" spans="1:23" x14ac:dyDescent="0.25">
      <c r="A220" s="67">
        <v>205</v>
      </c>
      <c r="B220" s="49"/>
      <c r="C220" s="48"/>
      <c r="D220" s="82"/>
      <c r="E220" s="67">
        <v>4</v>
      </c>
      <c r="F220" s="67">
        <v>93236</v>
      </c>
      <c r="G220" s="12">
        <f t="shared" si="33"/>
        <v>0.39763888888888888</v>
      </c>
      <c r="H220" s="12" t="str">
        <f t="shared" si="48"/>
        <v/>
      </c>
      <c r="I220" s="12" t="str">
        <f t="shared" si="49"/>
        <v/>
      </c>
      <c r="J220" s="12" t="str">
        <f t="shared" si="50"/>
        <v/>
      </c>
      <c r="K220" s="12">
        <f t="shared" si="51"/>
        <v>4.5138888888884843E-4</v>
      </c>
      <c r="L220" s="12" t="str">
        <f t="shared" si="52"/>
        <v/>
      </c>
      <c r="M220" s="12" t="str">
        <f t="shared" si="53"/>
        <v/>
      </c>
      <c r="N220" s="12" t="str">
        <f t="shared" si="54"/>
        <v/>
      </c>
      <c r="O220" s="12" t="str">
        <f t="shared" si="55"/>
        <v/>
      </c>
      <c r="P220" s="12" t="str">
        <f t="shared" si="56"/>
        <v/>
      </c>
      <c r="Q220" s="12">
        <f t="shared" si="57"/>
        <v>4.5138888888884843E-4</v>
      </c>
      <c r="R220" s="39" t="str">
        <f t="shared" si="58"/>
        <v/>
      </c>
      <c r="S220" s="39" t="str">
        <f t="shared" si="45"/>
        <v/>
      </c>
      <c r="V220" s="12" t="str">
        <f t="shared" si="47"/>
        <v/>
      </c>
      <c r="W220" s="22" t="str">
        <f t="shared" si="46"/>
        <v/>
      </c>
    </row>
    <row r="221" spans="1:23" x14ac:dyDescent="0.25">
      <c r="A221" s="67">
        <v>206</v>
      </c>
      <c r="B221" s="67"/>
      <c r="C221" s="67"/>
      <c r="D221" s="82"/>
      <c r="E221" s="67">
        <v>8</v>
      </c>
      <c r="F221" s="67">
        <v>93503</v>
      </c>
      <c r="G221" s="12">
        <f t="shared" si="33"/>
        <v>0.39934027777777775</v>
      </c>
      <c r="H221" s="12" t="str">
        <f t="shared" si="48"/>
        <v/>
      </c>
      <c r="I221" s="12" t="str">
        <f t="shared" si="49"/>
        <v/>
      </c>
      <c r="J221" s="12" t="str">
        <f t="shared" si="50"/>
        <v/>
      </c>
      <c r="K221" s="12" t="str">
        <f t="shared" si="51"/>
        <v/>
      </c>
      <c r="L221" s="12" t="str">
        <f t="shared" si="52"/>
        <v/>
      </c>
      <c r="M221" s="12" t="str">
        <f t="shared" si="53"/>
        <v/>
      </c>
      <c r="N221" s="12" t="str">
        <f t="shared" si="54"/>
        <v/>
      </c>
      <c r="O221" s="12">
        <f t="shared" si="55"/>
        <v>1.7013888888888773E-3</v>
      </c>
      <c r="P221" s="12" t="str">
        <f t="shared" si="56"/>
        <v/>
      </c>
      <c r="Q221" s="12">
        <f t="shared" si="57"/>
        <v>1.7013888888888773E-3</v>
      </c>
      <c r="R221" s="39" t="str">
        <f t="shared" si="58"/>
        <v/>
      </c>
      <c r="S221" s="39" t="str">
        <f t="shared" si="45"/>
        <v/>
      </c>
      <c r="V221" s="12" t="str">
        <f t="shared" si="47"/>
        <v/>
      </c>
      <c r="W221" s="22" t="str">
        <f t="shared" si="46"/>
        <v/>
      </c>
    </row>
    <row r="222" spans="1:23" x14ac:dyDescent="0.25">
      <c r="A222" s="67">
        <v>207</v>
      </c>
      <c r="B222" s="67">
        <v>7</v>
      </c>
      <c r="C222" s="67"/>
      <c r="D222" s="48">
        <v>5</v>
      </c>
      <c r="E222" s="67">
        <v>7</v>
      </c>
      <c r="F222" s="67">
        <v>93529</v>
      </c>
      <c r="G222" s="12">
        <f t="shared" si="33"/>
        <v>0.39964120370370365</v>
      </c>
      <c r="H222" s="12" t="str">
        <f t="shared" si="48"/>
        <v/>
      </c>
      <c r="I222" s="12" t="str">
        <f t="shared" si="49"/>
        <v/>
      </c>
      <c r="J222" s="12" t="str">
        <f t="shared" si="50"/>
        <v/>
      </c>
      <c r="K222" s="12" t="str">
        <f t="shared" si="51"/>
        <v/>
      </c>
      <c r="L222" s="12" t="str">
        <f t="shared" si="52"/>
        <v/>
      </c>
      <c r="M222" s="12" t="str">
        <f t="shared" si="53"/>
        <v/>
      </c>
      <c r="N222" s="12">
        <f t="shared" si="54"/>
        <v>3.0092592592589895E-4</v>
      </c>
      <c r="O222" s="12" t="str">
        <f t="shared" si="55"/>
        <v/>
      </c>
      <c r="P222" s="12" t="str">
        <f t="shared" si="56"/>
        <v/>
      </c>
      <c r="Q222" s="12">
        <f t="shared" si="57"/>
        <v>3.0092592592589895E-4</v>
      </c>
      <c r="R222" s="39" t="str">
        <f t="shared" si="58"/>
        <v/>
      </c>
      <c r="S222" s="39" t="str">
        <f t="shared" si="45"/>
        <v/>
      </c>
      <c r="V222" s="12" t="str">
        <f t="shared" si="47"/>
        <v/>
      </c>
      <c r="W222" s="22" t="str">
        <f t="shared" si="46"/>
        <v/>
      </c>
    </row>
    <row r="223" spans="1:23" x14ac:dyDescent="0.25">
      <c r="A223" s="67">
        <v>208</v>
      </c>
      <c r="B223" s="49"/>
      <c r="C223" s="48"/>
      <c r="D223" s="48"/>
      <c r="E223" s="67">
        <v>1</v>
      </c>
      <c r="F223" s="67">
        <v>93715</v>
      </c>
      <c r="G223" s="12">
        <f t="shared" si="33"/>
        <v>0.40086805555555555</v>
      </c>
      <c r="H223" s="12">
        <f t="shared" si="48"/>
        <v>1.2268518518518956E-3</v>
      </c>
      <c r="I223" s="12" t="str">
        <f t="shared" si="49"/>
        <v/>
      </c>
      <c r="J223" s="12" t="str">
        <f t="shared" si="50"/>
        <v/>
      </c>
      <c r="K223" s="12" t="str">
        <f t="shared" si="51"/>
        <v/>
      </c>
      <c r="L223" s="12" t="str">
        <f t="shared" si="52"/>
        <v/>
      </c>
      <c r="M223" s="12" t="str">
        <f t="shared" si="53"/>
        <v/>
      </c>
      <c r="N223" s="12" t="str">
        <f t="shared" si="54"/>
        <v/>
      </c>
      <c r="O223" s="12" t="str">
        <f t="shared" si="55"/>
        <v/>
      </c>
      <c r="P223" s="12" t="str">
        <f t="shared" si="56"/>
        <v/>
      </c>
      <c r="Q223" s="12">
        <f t="shared" si="57"/>
        <v>1.2268518518518956E-3</v>
      </c>
      <c r="R223" s="39">
        <f t="shared" si="58"/>
        <v>1.7666666666666666</v>
      </c>
      <c r="S223" s="39">
        <f t="shared" si="45"/>
        <v>1.7666666666666666</v>
      </c>
      <c r="V223" s="12">
        <f t="shared" si="47"/>
        <v>1.2268518518518956E-3</v>
      </c>
      <c r="W223" s="22" t="str">
        <f t="shared" si="46"/>
        <v/>
      </c>
    </row>
    <row r="224" spans="1:23" x14ac:dyDescent="0.25">
      <c r="A224" s="67">
        <v>209</v>
      </c>
      <c r="B224" s="49"/>
      <c r="C224" s="48"/>
      <c r="D224" s="48"/>
      <c r="E224" s="67">
        <v>4</v>
      </c>
      <c r="F224" s="67">
        <v>93800</v>
      </c>
      <c r="G224" s="12">
        <f t="shared" si="33"/>
        <v>0.40138888888888885</v>
      </c>
      <c r="H224" s="12" t="str">
        <f t="shared" si="48"/>
        <v/>
      </c>
      <c r="I224" s="12" t="str">
        <f t="shared" si="49"/>
        <v/>
      </c>
      <c r="J224" s="12" t="str">
        <f t="shared" si="50"/>
        <v/>
      </c>
      <c r="K224" s="12">
        <f t="shared" si="51"/>
        <v>5.2083333333330373E-4</v>
      </c>
      <c r="L224" s="12" t="str">
        <f t="shared" si="52"/>
        <v/>
      </c>
      <c r="M224" s="12" t="str">
        <f t="shared" si="53"/>
        <v/>
      </c>
      <c r="N224" s="12" t="str">
        <f t="shared" si="54"/>
        <v/>
      </c>
      <c r="O224" s="12" t="str">
        <f t="shared" si="55"/>
        <v/>
      </c>
      <c r="P224" s="12" t="str">
        <f t="shared" si="56"/>
        <v/>
      </c>
      <c r="Q224" s="12">
        <f t="shared" si="57"/>
        <v>5.2083333333330373E-4</v>
      </c>
      <c r="R224" s="39" t="str">
        <f t="shared" si="58"/>
        <v/>
      </c>
      <c r="S224" s="39" t="str">
        <f t="shared" si="45"/>
        <v/>
      </c>
      <c r="V224" s="12" t="str">
        <f t="shared" si="47"/>
        <v/>
      </c>
      <c r="W224" s="22" t="str">
        <f t="shared" si="46"/>
        <v/>
      </c>
    </row>
    <row r="225" spans="1:23" x14ac:dyDescent="0.25">
      <c r="A225" s="67">
        <v>210</v>
      </c>
      <c r="B225" s="49">
        <v>8</v>
      </c>
      <c r="C225" s="48"/>
      <c r="D225" s="48">
        <v>5</v>
      </c>
      <c r="E225" s="67">
        <v>7</v>
      </c>
      <c r="F225" s="67">
        <v>93827</v>
      </c>
      <c r="G225" s="12">
        <f t="shared" si="33"/>
        <v>0.4017013888888889</v>
      </c>
      <c r="H225" s="12" t="str">
        <f t="shared" si="48"/>
        <v/>
      </c>
      <c r="I225" s="12" t="str">
        <f t="shared" si="49"/>
        <v/>
      </c>
      <c r="J225" s="12" t="str">
        <f t="shared" si="50"/>
        <v/>
      </c>
      <c r="K225" s="12" t="str">
        <f t="shared" si="51"/>
        <v/>
      </c>
      <c r="L225" s="12" t="str">
        <f t="shared" si="52"/>
        <v/>
      </c>
      <c r="M225" s="12" t="str">
        <f t="shared" si="53"/>
        <v/>
      </c>
      <c r="N225" s="12">
        <f t="shared" si="54"/>
        <v>3.1250000000004885E-4</v>
      </c>
      <c r="O225" s="12" t="str">
        <f t="shared" si="55"/>
        <v/>
      </c>
      <c r="P225" s="12" t="str">
        <f t="shared" si="56"/>
        <v/>
      </c>
      <c r="Q225" s="12">
        <f t="shared" si="57"/>
        <v>3.1250000000004885E-4</v>
      </c>
      <c r="R225" s="39" t="str">
        <f t="shared" si="58"/>
        <v/>
      </c>
      <c r="S225" s="39" t="str">
        <f t="shared" ref="S225:S288" si="59">R225</f>
        <v/>
      </c>
      <c r="V225" s="12" t="str">
        <f t="shared" si="47"/>
        <v/>
      </c>
      <c r="W225" s="22" t="str">
        <f t="shared" si="46"/>
        <v/>
      </c>
    </row>
    <row r="226" spans="1:23" x14ac:dyDescent="0.25">
      <c r="A226" s="67">
        <v>211</v>
      </c>
      <c r="B226" s="49"/>
      <c r="C226" s="48"/>
      <c r="D226" s="48"/>
      <c r="E226" s="67">
        <v>1</v>
      </c>
      <c r="F226" s="67">
        <v>94037</v>
      </c>
      <c r="G226" s="12">
        <f t="shared" si="33"/>
        <v>0.40320601851851851</v>
      </c>
      <c r="H226" s="12">
        <f t="shared" si="48"/>
        <v>1.5046296296296058E-3</v>
      </c>
      <c r="I226" s="12" t="str">
        <f t="shared" si="49"/>
        <v/>
      </c>
      <c r="J226" s="12" t="str">
        <f t="shared" si="50"/>
        <v/>
      </c>
      <c r="K226" s="12" t="str">
        <f t="shared" si="51"/>
        <v/>
      </c>
      <c r="L226" s="12" t="str">
        <f t="shared" si="52"/>
        <v/>
      </c>
      <c r="M226" s="12" t="str">
        <f t="shared" si="53"/>
        <v/>
      </c>
      <c r="N226" s="12" t="str">
        <f t="shared" si="54"/>
        <v/>
      </c>
      <c r="O226" s="12" t="str">
        <f t="shared" si="55"/>
        <v/>
      </c>
      <c r="P226" s="12" t="str">
        <f t="shared" si="56"/>
        <v/>
      </c>
      <c r="Q226" s="12">
        <f t="shared" si="57"/>
        <v>1.5046296296296058E-3</v>
      </c>
      <c r="R226" s="39">
        <f t="shared" si="58"/>
        <v>2.1666666666666665</v>
      </c>
      <c r="S226" s="39">
        <f t="shared" si="59"/>
        <v>2.1666666666666665</v>
      </c>
      <c r="V226" s="12">
        <f t="shared" si="47"/>
        <v>1.5046296296296058E-3</v>
      </c>
      <c r="W226" s="22" t="str">
        <f t="shared" si="46"/>
        <v/>
      </c>
    </row>
    <row r="227" spans="1:23" x14ac:dyDescent="0.25">
      <c r="A227" s="67">
        <v>212</v>
      </c>
      <c r="B227" s="49"/>
      <c r="C227" s="48"/>
      <c r="D227" s="48"/>
      <c r="E227" s="67">
        <v>4</v>
      </c>
      <c r="F227" s="67">
        <v>94100</v>
      </c>
      <c r="G227" s="12">
        <f t="shared" si="33"/>
        <v>0.40347222222222223</v>
      </c>
      <c r="H227" s="12" t="str">
        <f t="shared" si="48"/>
        <v/>
      </c>
      <c r="I227" s="12" t="str">
        <f t="shared" si="49"/>
        <v/>
      </c>
      <c r="J227" s="12" t="str">
        <f t="shared" si="50"/>
        <v/>
      </c>
      <c r="K227" s="12">
        <f t="shared" si="51"/>
        <v>2.6620370370372681E-4</v>
      </c>
      <c r="L227" s="12" t="str">
        <f t="shared" si="52"/>
        <v/>
      </c>
      <c r="M227" s="12" t="str">
        <f t="shared" si="53"/>
        <v/>
      </c>
      <c r="N227" s="12" t="str">
        <f t="shared" si="54"/>
        <v/>
      </c>
      <c r="O227" s="12" t="str">
        <f t="shared" si="55"/>
        <v/>
      </c>
      <c r="P227" s="12" t="str">
        <f t="shared" si="56"/>
        <v/>
      </c>
      <c r="Q227" s="12">
        <f t="shared" si="57"/>
        <v>2.6620370370372681E-4</v>
      </c>
      <c r="R227" s="39" t="str">
        <f t="shared" si="58"/>
        <v/>
      </c>
      <c r="S227" s="39" t="str">
        <f t="shared" si="59"/>
        <v/>
      </c>
      <c r="V227" s="12" t="str">
        <f t="shared" si="47"/>
        <v/>
      </c>
      <c r="W227" s="22" t="str">
        <f t="shared" si="46"/>
        <v/>
      </c>
    </row>
    <row r="228" spans="1:23" x14ac:dyDescent="0.25">
      <c r="A228" s="67">
        <v>213</v>
      </c>
      <c r="B228" s="49">
        <v>9</v>
      </c>
      <c r="C228" s="48"/>
      <c r="D228" s="48">
        <v>5</v>
      </c>
      <c r="E228" s="67">
        <v>7</v>
      </c>
      <c r="F228" s="67">
        <v>94117</v>
      </c>
      <c r="G228" s="12">
        <f t="shared" si="33"/>
        <v>0.4036689814814815</v>
      </c>
      <c r="H228" s="12" t="str">
        <f t="shared" si="48"/>
        <v/>
      </c>
      <c r="I228" s="12" t="str">
        <f t="shared" si="49"/>
        <v/>
      </c>
      <c r="J228" s="12" t="str">
        <f t="shared" si="50"/>
        <v/>
      </c>
      <c r="K228" s="12" t="str">
        <f t="shared" si="51"/>
        <v/>
      </c>
      <c r="L228" s="12" t="str">
        <f t="shared" si="52"/>
        <v/>
      </c>
      <c r="M228" s="12" t="str">
        <f t="shared" si="53"/>
        <v/>
      </c>
      <c r="N228" s="12">
        <f t="shared" si="54"/>
        <v>1.9675925925927151E-4</v>
      </c>
      <c r="O228" s="12" t="str">
        <f t="shared" si="55"/>
        <v/>
      </c>
      <c r="P228" s="12" t="str">
        <f t="shared" si="56"/>
        <v/>
      </c>
      <c r="Q228" s="12">
        <f t="shared" si="57"/>
        <v>1.9675925925927151E-4</v>
      </c>
      <c r="R228" s="39" t="str">
        <f t="shared" si="58"/>
        <v/>
      </c>
      <c r="S228" s="39" t="str">
        <f t="shared" si="59"/>
        <v/>
      </c>
      <c r="V228" s="12" t="str">
        <f t="shared" si="47"/>
        <v/>
      </c>
      <c r="W228" s="22" t="str">
        <f t="shared" si="46"/>
        <v/>
      </c>
    </row>
    <row r="229" spans="1:23" x14ac:dyDescent="0.25">
      <c r="A229" s="67">
        <v>214</v>
      </c>
      <c r="B229" s="49"/>
      <c r="C229" s="48"/>
      <c r="D229" s="48"/>
      <c r="E229" s="67">
        <v>1</v>
      </c>
      <c r="F229" s="67">
        <v>94331</v>
      </c>
      <c r="G229" s="12">
        <f t="shared" si="33"/>
        <v>0.40521990740740743</v>
      </c>
      <c r="H229" s="12">
        <f t="shared" si="48"/>
        <v>1.5509259259259278E-3</v>
      </c>
      <c r="I229" s="12" t="str">
        <f t="shared" si="49"/>
        <v/>
      </c>
      <c r="J229" s="12" t="str">
        <f t="shared" si="50"/>
        <v/>
      </c>
      <c r="K229" s="12" t="str">
        <f t="shared" si="51"/>
        <v/>
      </c>
      <c r="L229" s="12" t="str">
        <f t="shared" si="52"/>
        <v/>
      </c>
      <c r="M229" s="12" t="str">
        <f t="shared" si="53"/>
        <v/>
      </c>
      <c r="N229" s="12" t="str">
        <f t="shared" si="54"/>
        <v/>
      </c>
      <c r="O229" s="12" t="str">
        <f t="shared" si="55"/>
        <v/>
      </c>
      <c r="P229" s="12" t="str">
        <f t="shared" si="56"/>
        <v/>
      </c>
      <c r="Q229" s="12">
        <f t="shared" si="57"/>
        <v>1.5509259259259278E-3</v>
      </c>
      <c r="R229" s="39">
        <f t="shared" si="58"/>
        <v>2.2333333333333334</v>
      </c>
      <c r="S229" s="39">
        <f t="shared" si="59"/>
        <v>2.2333333333333334</v>
      </c>
      <c r="V229" s="12">
        <f t="shared" si="47"/>
        <v>1.5509259259259278E-3</v>
      </c>
      <c r="W229" s="22" t="str">
        <f t="shared" si="46"/>
        <v/>
      </c>
    </row>
    <row r="230" spans="1:23" x14ac:dyDescent="0.25">
      <c r="A230" s="67">
        <v>215</v>
      </c>
      <c r="B230" s="49"/>
      <c r="C230" s="48"/>
      <c r="D230" s="48"/>
      <c r="E230" s="67">
        <v>4</v>
      </c>
      <c r="F230" s="67">
        <v>94402</v>
      </c>
      <c r="G230" s="12">
        <f t="shared" si="33"/>
        <v>0.40557870370370369</v>
      </c>
      <c r="H230" s="12" t="str">
        <f t="shared" si="48"/>
        <v/>
      </c>
      <c r="I230" s="12" t="str">
        <f t="shared" si="49"/>
        <v/>
      </c>
      <c r="J230" s="12" t="str">
        <f t="shared" si="50"/>
        <v/>
      </c>
      <c r="K230" s="12">
        <f t="shared" si="51"/>
        <v>3.5879629629625986E-4</v>
      </c>
      <c r="L230" s="12" t="str">
        <f t="shared" si="52"/>
        <v/>
      </c>
      <c r="M230" s="12" t="str">
        <f t="shared" si="53"/>
        <v/>
      </c>
      <c r="N230" s="12" t="str">
        <f t="shared" si="54"/>
        <v/>
      </c>
      <c r="O230" s="12" t="str">
        <f t="shared" si="55"/>
        <v/>
      </c>
      <c r="P230" s="12" t="str">
        <f t="shared" si="56"/>
        <v/>
      </c>
      <c r="Q230" s="12">
        <f t="shared" si="57"/>
        <v>3.5879629629625986E-4</v>
      </c>
      <c r="R230" s="39" t="str">
        <f t="shared" si="58"/>
        <v/>
      </c>
      <c r="S230" s="39" t="str">
        <f t="shared" si="59"/>
        <v/>
      </c>
      <c r="V230" s="12" t="str">
        <f t="shared" si="47"/>
        <v/>
      </c>
      <c r="W230" s="22" t="str">
        <f t="shared" si="46"/>
        <v/>
      </c>
    </row>
    <row r="231" spans="1:23" x14ac:dyDescent="0.25">
      <c r="A231" s="67">
        <v>216</v>
      </c>
      <c r="B231" s="49">
        <v>5</v>
      </c>
      <c r="C231" s="48"/>
      <c r="D231" s="82">
        <v>5</v>
      </c>
      <c r="E231" s="67">
        <v>7</v>
      </c>
      <c r="F231" s="67">
        <v>94439</v>
      </c>
      <c r="G231" s="12">
        <f t="shared" si="33"/>
        <v>0.40600694444444446</v>
      </c>
      <c r="H231" s="12" t="str">
        <f t="shared" si="48"/>
        <v/>
      </c>
      <c r="I231" s="12" t="str">
        <f t="shared" si="49"/>
        <v/>
      </c>
      <c r="J231" s="12" t="str">
        <f t="shared" si="50"/>
        <v/>
      </c>
      <c r="K231" s="12" t="str">
        <f t="shared" si="51"/>
        <v/>
      </c>
      <c r="L231" s="12" t="str">
        <f t="shared" si="52"/>
        <v/>
      </c>
      <c r="M231" s="12" t="str">
        <f t="shared" si="53"/>
        <v/>
      </c>
      <c r="N231" s="12">
        <f t="shared" si="54"/>
        <v>4.2824074074077068E-4</v>
      </c>
      <c r="O231" s="12" t="str">
        <f t="shared" si="55"/>
        <v/>
      </c>
      <c r="P231" s="12" t="str">
        <f t="shared" si="56"/>
        <v/>
      </c>
      <c r="Q231" s="12">
        <f t="shared" si="57"/>
        <v>4.2824074074077068E-4</v>
      </c>
      <c r="R231" s="39" t="str">
        <f t="shared" si="58"/>
        <v/>
      </c>
      <c r="S231" s="39" t="str">
        <f t="shared" si="59"/>
        <v/>
      </c>
      <c r="V231" s="12" t="str">
        <f t="shared" si="47"/>
        <v/>
      </c>
      <c r="W231" s="22" t="str">
        <f t="shared" si="46"/>
        <v/>
      </c>
    </row>
    <row r="232" spans="1:23" x14ac:dyDescent="0.25">
      <c r="A232" s="67">
        <v>217</v>
      </c>
      <c r="B232" s="67"/>
      <c r="C232" s="67"/>
      <c r="D232" s="82"/>
      <c r="E232" s="67">
        <v>1</v>
      </c>
      <c r="F232" s="67">
        <v>94650</v>
      </c>
      <c r="G232" s="12">
        <f t="shared" si="33"/>
        <v>0.40752314814814811</v>
      </c>
      <c r="H232" s="12">
        <f t="shared" si="48"/>
        <v>1.5162037037036447E-3</v>
      </c>
      <c r="I232" s="12" t="str">
        <f t="shared" si="49"/>
        <v/>
      </c>
      <c r="J232" s="12" t="str">
        <f t="shared" si="50"/>
        <v/>
      </c>
      <c r="K232" s="12" t="str">
        <f t="shared" si="51"/>
        <v/>
      </c>
      <c r="L232" s="12" t="str">
        <f t="shared" si="52"/>
        <v/>
      </c>
      <c r="M232" s="12" t="str">
        <f t="shared" si="53"/>
        <v/>
      </c>
      <c r="N232" s="12" t="str">
        <f t="shared" si="54"/>
        <v/>
      </c>
      <c r="O232" s="12" t="str">
        <f t="shared" si="55"/>
        <v/>
      </c>
      <c r="P232" s="12" t="str">
        <f t="shared" si="56"/>
        <v/>
      </c>
      <c r="Q232" s="12">
        <f t="shared" si="57"/>
        <v>1.5162037037036447E-3</v>
      </c>
      <c r="R232" s="39">
        <f t="shared" si="58"/>
        <v>2.1833333333333331</v>
      </c>
      <c r="S232" s="39">
        <f t="shared" si="59"/>
        <v>2.1833333333333331</v>
      </c>
      <c r="V232" s="12">
        <f t="shared" si="47"/>
        <v>1.5162037037036447E-3</v>
      </c>
      <c r="W232" s="22" t="str">
        <f t="shared" si="46"/>
        <v/>
      </c>
    </row>
    <row r="233" spans="1:23" x14ac:dyDescent="0.25">
      <c r="A233" s="67">
        <v>218</v>
      </c>
      <c r="B233" s="67"/>
      <c r="C233" s="67"/>
      <c r="D233" s="82"/>
      <c r="E233" s="67">
        <v>4</v>
      </c>
      <c r="F233" s="67">
        <v>94712</v>
      </c>
      <c r="G233" s="12">
        <f t="shared" si="33"/>
        <v>0.40777777777777779</v>
      </c>
      <c r="H233" s="12" t="str">
        <f t="shared" si="48"/>
        <v/>
      </c>
      <c r="I233" s="12" t="str">
        <f t="shared" si="49"/>
        <v/>
      </c>
      <c r="J233" s="12" t="str">
        <f t="shared" si="50"/>
        <v/>
      </c>
      <c r="K233" s="12">
        <f t="shared" si="51"/>
        <v>2.5462962962968794E-4</v>
      </c>
      <c r="L233" s="12" t="str">
        <f t="shared" si="52"/>
        <v/>
      </c>
      <c r="M233" s="12" t="str">
        <f t="shared" si="53"/>
        <v/>
      </c>
      <c r="N233" s="12" t="str">
        <f t="shared" si="54"/>
        <v/>
      </c>
      <c r="O233" s="12" t="str">
        <f t="shared" si="55"/>
        <v/>
      </c>
      <c r="P233" s="12" t="str">
        <f t="shared" si="56"/>
        <v/>
      </c>
      <c r="Q233" s="12">
        <f t="shared" si="57"/>
        <v>2.5462962962968794E-4</v>
      </c>
      <c r="R233" s="39" t="str">
        <f t="shared" si="58"/>
        <v/>
      </c>
      <c r="S233" s="39" t="str">
        <f t="shared" si="59"/>
        <v/>
      </c>
      <c r="V233" s="12" t="str">
        <f t="shared" si="47"/>
        <v/>
      </c>
      <c r="W233" s="22" t="str">
        <f t="shared" si="46"/>
        <v/>
      </c>
    </row>
    <row r="234" spans="1:23" x14ac:dyDescent="0.25">
      <c r="A234" s="67">
        <v>219</v>
      </c>
      <c r="B234" s="67">
        <v>10</v>
      </c>
      <c r="C234" s="67"/>
      <c r="D234" s="48">
        <v>5</v>
      </c>
      <c r="E234" s="67">
        <v>7</v>
      </c>
      <c r="F234" s="67">
        <v>94734</v>
      </c>
      <c r="G234" s="12">
        <f t="shared" si="33"/>
        <v>0.40803240740740737</v>
      </c>
      <c r="H234" s="12" t="str">
        <f t="shared" si="48"/>
        <v/>
      </c>
      <c r="I234" s="12" t="str">
        <f t="shared" si="49"/>
        <v/>
      </c>
      <c r="J234" s="12" t="str">
        <f t="shared" si="50"/>
        <v/>
      </c>
      <c r="K234" s="12" t="str">
        <f t="shared" si="51"/>
        <v/>
      </c>
      <c r="L234" s="12" t="str">
        <f t="shared" si="52"/>
        <v/>
      </c>
      <c r="M234" s="12" t="str">
        <f t="shared" si="53"/>
        <v/>
      </c>
      <c r="N234" s="12">
        <f t="shared" si="54"/>
        <v>2.5462962962957691E-4</v>
      </c>
      <c r="O234" s="12" t="str">
        <f t="shared" si="55"/>
        <v/>
      </c>
      <c r="P234" s="12" t="str">
        <f t="shared" si="56"/>
        <v/>
      </c>
      <c r="Q234" s="12">
        <f t="shared" si="57"/>
        <v>2.5462962962957691E-4</v>
      </c>
      <c r="R234" s="39" t="str">
        <f t="shared" si="58"/>
        <v/>
      </c>
      <c r="S234" s="39" t="str">
        <f t="shared" si="59"/>
        <v/>
      </c>
      <c r="V234" s="12" t="str">
        <f t="shared" si="47"/>
        <v/>
      </c>
      <c r="W234" s="22" t="str">
        <f t="shared" si="46"/>
        <v/>
      </c>
    </row>
    <row r="235" spans="1:23" x14ac:dyDescent="0.25">
      <c r="A235" s="67">
        <v>220</v>
      </c>
      <c r="B235" s="49"/>
      <c r="C235" s="48"/>
      <c r="D235" s="48"/>
      <c r="E235" s="67">
        <v>1</v>
      </c>
      <c r="F235" s="67">
        <v>94923</v>
      </c>
      <c r="G235" s="12">
        <f t="shared" si="33"/>
        <v>0.40929398148148149</v>
      </c>
      <c r="H235" s="12">
        <f t="shared" si="48"/>
        <v>1.2615740740741233E-3</v>
      </c>
      <c r="I235" s="12" t="str">
        <f t="shared" si="49"/>
        <v/>
      </c>
      <c r="J235" s="12" t="str">
        <f t="shared" si="50"/>
        <v/>
      </c>
      <c r="K235" s="12" t="str">
        <f t="shared" si="51"/>
        <v/>
      </c>
      <c r="L235" s="12" t="str">
        <f t="shared" si="52"/>
        <v/>
      </c>
      <c r="M235" s="12" t="str">
        <f t="shared" si="53"/>
        <v/>
      </c>
      <c r="N235" s="12" t="str">
        <f t="shared" si="54"/>
        <v/>
      </c>
      <c r="O235" s="12" t="str">
        <f t="shared" si="55"/>
        <v/>
      </c>
      <c r="P235" s="12" t="str">
        <f t="shared" si="56"/>
        <v/>
      </c>
      <c r="Q235" s="12">
        <f t="shared" si="57"/>
        <v>1.2615740740741233E-3</v>
      </c>
      <c r="R235" s="39">
        <f t="shared" si="58"/>
        <v>1.8166666666666667</v>
      </c>
      <c r="S235" s="39">
        <f t="shared" si="59"/>
        <v>1.8166666666666667</v>
      </c>
      <c r="V235" s="12">
        <f t="shared" si="47"/>
        <v>1.2615740740741233E-3</v>
      </c>
      <c r="W235" s="22" t="str">
        <f t="shared" si="46"/>
        <v/>
      </c>
    </row>
    <row r="236" spans="1:23" x14ac:dyDescent="0.25">
      <c r="A236" s="67">
        <v>221</v>
      </c>
      <c r="B236" s="49"/>
      <c r="C236" s="48"/>
      <c r="D236" s="48"/>
      <c r="E236" s="67">
        <v>4</v>
      </c>
      <c r="F236" s="67">
        <v>94945</v>
      </c>
      <c r="G236" s="12">
        <f t="shared" si="33"/>
        <v>0.40954861111111113</v>
      </c>
      <c r="H236" s="12" t="str">
        <f t="shared" si="48"/>
        <v/>
      </c>
      <c r="I236" s="12" t="str">
        <f t="shared" si="49"/>
        <v/>
      </c>
      <c r="J236" s="12" t="str">
        <f t="shared" si="50"/>
        <v/>
      </c>
      <c r="K236" s="12">
        <f t="shared" si="51"/>
        <v>2.5462962962963243E-4</v>
      </c>
      <c r="L236" s="12" t="str">
        <f t="shared" si="52"/>
        <v/>
      </c>
      <c r="M236" s="12" t="str">
        <f t="shared" si="53"/>
        <v/>
      </c>
      <c r="N236" s="12" t="str">
        <f t="shared" si="54"/>
        <v/>
      </c>
      <c r="O236" s="12" t="str">
        <f t="shared" si="55"/>
        <v/>
      </c>
      <c r="P236" s="12" t="str">
        <f t="shared" si="56"/>
        <v/>
      </c>
      <c r="Q236" s="12">
        <f t="shared" si="57"/>
        <v>2.5462962962963243E-4</v>
      </c>
      <c r="R236" s="39" t="str">
        <f t="shared" si="58"/>
        <v/>
      </c>
      <c r="S236" s="39" t="str">
        <f t="shared" si="59"/>
        <v/>
      </c>
      <c r="V236" s="12" t="str">
        <f t="shared" si="47"/>
        <v/>
      </c>
      <c r="W236" s="22" t="str">
        <f t="shared" si="46"/>
        <v/>
      </c>
    </row>
    <row r="237" spans="1:23" x14ac:dyDescent="0.25">
      <c r="A237" s="67">
        <v>222</v>
      </c>
      <c r="B237" s="49">
        <v>12</v>
      </c>
      <c r="C237" s="48"/>
      <c r="D237" s="48">
        <v>5</v>
      </c>
      <c r="E237" s="67">
        <v>7</v>
      </c>
      <c r="F237" s="67">
        <v>95014</v>
      </c>
      <c r="G237" s="12">
        <f t="shared" si="33"/>
        <v>0.40988425925925925</v>
      </c>
      <c r="H237" s="12" t="str">
        <f t="shared" si="48"/>
        <v/>
      </c>
      <c r="I237" s="12" t="str">
        <f t="shared" si="49"/>
        <v/>
      </c>
      <c r="J237" s="12" t="str">
        <f t="shared" si="50"/>
        <v/>
      </c>
      <c r="K237" s="12" t="str">
        <f t="shared" si="51"/>
        <v/>
      </c>
      <c r="L237" s="12" t="str">
        <f t="shared" si="52"/>
        <v/>
      </c>
      <c r="M237" s="12" t="str">
        <f t="shared" si="53"/>
        <v/>
      </c>
      <c r="N237" s="12">
        <f t="shared" si="54"/>
        <v>3.356481481481266E-4</v>
      </c>
      <c r="O237" s="12" t="str">
        <f t="shared" si="55"/>
        <v/>
      </c>
      <c r="P237" s="12" t="str">
        <f t="shared" si="56"/>
        <v/>
      </c>
      <c r="Q237" s="12">
        <f t="shared" si="57"/>
        <v>3.356481481481266E-4</v>
      </c>
      <c r="R237" s="39" t="str">
        <f t="shared" si="58"/>
        <v/>
      </c>
      <c r="S237" s="39" t="str">
        <f t="shared" si="59"/>
        <v/>
      </c>
      <c r="V237" s="12" t="str">
        <f t="shared" si="47"/>
        <v/>
      </c>
      <c r="W237" s="22" t="str">
        <f t="shared" si="46"/>
        <v/>
      </c>
    </row>
    <row r="238" spans="1:23" x14ac:dyDescent="0.25">
      <c r="A238" s="67">
        <v>223</v>
      </c>
      <c r="B238" s="49"/>
      <c r="C238" s="48"/>
      <c r="D238" s="48"/>
      <c r="E238" s="67">
        <v>1</v>
      </c>
      <c r="F238" s="67">
        <v>95157</v>
      </c>
      <c r="G238" s="12">
        <f t="shared" si="33"/>
        <v>0.41107638888888887</v>
      </c>
      <c r="H238" s="12">
        <f t="shared" si="48"/>
        <v>1.1921296296296124E-3</v>
      </c>
      <c r="I238" s="12" t="str">
        <f t="shared" si="49"/>
        <v/>
      </c>
      <c r="J238" s="12" t="str">
        <f t="shared" si="50"/>
        <v/>
      </c>
      <c r="K238" s="12" t="str">
        <f t="shared" si="51"/>
        <v/>
      </c>
      <c r="L238" s="12" t="str">
        <f t="shared" si="52"/>
        <v/>
      </c>
      <c r="M238" s="12" t="str">
        <f t="shared" si="53"/>
        <v/>
      </c>
      <c r="N238" s="12" t="str">
        <f t="shared" si="54"/>
        <v/>
      </c>
      <c r="O238" s="12" t="str">
        <f t="shared" si="55"/>
        <v/>
      </c>
      <c r="P238" s="12" t="str">
        <f t="shared" si="56"/>
        <v/>
      </c>
      <c r="Q238" s="12">
        <f t="shared" si="57"/>
        <v>1.1921296296296124E-3</v>
      </c>
      <c r="R238" s="39">
        <f t="shared" si="58"/>
        <v>1.7166666666666668</v>
      </c>
      <c r="S238" s="39">
        <f t="shared" si="59"/>
        <v>1.7166666666666668</v>
      </c>
      <c r="V238" s="12">
        <f t="shared" si="47"/>
        <v>1.1921296296296124E-3</v>
      </c>
      <c r="W238" s="22" t="str">
        <f t="shared" si="46"/>
        <v/>
      </c>
    </row>
    <row r="239" spans="1:23" x14ac:dyDescent="0.25">
      <c r="A239" s="67">
        <v>224</v>
      </c>
      <c r="B239" s="49"/>
      <c r="C239" s="48"/>
      <c r="D239" s="48"/>
      <c r="E239" s="67">
        <v>4</v>
      </c>
      <c r="F239" s="67">
        <v>95225</v>
      </c>
      <c r="G239" s="12">
        <f t="shared" si="33"/>
        <v>0.41140046296296301</v>
      </c>
      <c r="H239" s="12" t="str">
        <f t="shared" si="48"/>
        <v/>
      </c>
      <c r="I239" s="12" t="str">
        <f t="shared" si="49"/>
        <v/>
      </c>
      <c r="J239" s="12" t="str">
        <f t="shared" si="50"/>
        <v/>
      </c>
      <c r="K239" s="12">
        <f t="shared" si="51"/>
        <v>3.2407407407414324E-4</v>
      </c>
      <c r="L239" s="12" t="str">
        <f t="shared" si="52"/>
        <v/>
      </c>
      <c r="M239" s="12" t="str">
        <f t="shared" si="53"/>
        <v/>
      </c>
      <c r="N239" s="12" t="str">
        <f t="shared" si="54"/>
        <v/>
      </c>
      <c r="O239" s="12" t="str">
        <f t="shared" si="55"/>
        <v/>
      </c>
      <c r="P239" s="12" t="str">
        <f t="shared" si="56"/>
        <v/>
      </c>
      <c r="Q239" s="12">
        <f t="shared" si="57"/>
        <v>3.2407407407414324E-4</v>
      </c>
      <c r="R239" s="39" t="str">
        <f t="shared" si="58"/>
        <v/>
      </c>
      <c r="S239" s="39" t="str">
        <f t="shared" si="59"/>
        <v/>
      </c>
      <c r="V239" s="12" t="str">
        <f t="shared" si="47"/>
        <v/>
      </c>
      <c r="W239" s="22" t="str">
        <f t="shared" si="46"/>
        <v/>
      </c>
    </row>
    <row r="240" spans="1:23" x14ac:dyDescent="0.25">
      <c r="A240" s="67">
        <v>225</v>
      </c>
      <c r="B240" s="49"/>
      <c r="C240" s="48"/>
      <c r="D240" s="48"/>
      <c r="E240" s="67">
        <v>8</v>
      </c>
      <c r="F240" s="67">
        <v>95347</v>
      </c>
      <c r="G240" s="12">
        <f t="shared" si="33"/>
        <v>0.41234953703703708</v>
      </c>
      <c r="H240" s="12" t="str">
        <f t="shared" si="48"/>
        <v/>
      </c>
      <c r="I240" s="12" t="str">
        <f t="shared" si="49"/>
        <v/>
      </c>
      <c r="J240" s="12" t="str">
        <f t="shared" si="50"/>
        <v/>
      </c>
      <c r="K240" s="12" t="str">
        <f t="shared" si="51"/>
        <v/>
      </c>
      <c r="L240" s="12" t="str">
        <f t="shared" si="52"/>
        <v/>
      </c>
      <c r="M240" s="12" t="str">
        <f t="shared" si="53"/>
        <v/>
      </c>
      <c r="N240" s="12" t="str">
        <f t="shared" si="54"/>
        <v/>
      </c>
      <c r="O240" s="12">
        <f t="shared" si="55"/>
        <v>9.490740740740744E-4</v>
      </c>
      <c r="P240" s="12" t="str">
        <f t="shared" si="56"/>
        <v/>
      </c>
      <c r="Q240" s="12">
        <f t="shared" si="57"/>
        <v>9.490740740740744E-4</v>
      </c>
      <c r="R240" s="39" t="str">
        <f t="shared" si="58"/>
        <v/>
      </c>
      <c r="S240" s="39" t="str">
        <f t="shared" si="59"/>
        <v/>
      </c>
      <c r="V240" s="12" t="str">
        <f t="shared" si="47"/>
        <v/>
      </c>
      <c r="W240" s="22" t="str">
        <f t="shared" si="46"/>
        <v/>
      </c>
    </row>
    <row r="241" spans="1:23" x14ac:dyDescent="0.25">
      <c r="A241" s="67">
        <v>226</v>
      </c>
      <c r="B241" s="49">
        <v>7</v>
      </c>
      <c r="C241" s="48"/>
      <c r="D241" s="48">
        <v>5</v>
      </c>
      <c r="E241" s="67">
        <v>7</v>
      </c>
      <c r="F241" s="67">
        <v>95407</v>
      </c>
      <c r="G241" s="12">
        <f t="shared" si="33"/>
        <v>0.41258101851851853</v>
      </c>
      <c r="H241" s="12" t="str">
        <f t="shared" si="48"/>
        <v/>
      </c>
      <c r="I241" s="12" t="str">
        <f t="shared" si="49"/>
        <v/>
      </c>
      <c r="J241" s="12" t="str">
        <f t="shared" si="50"/>
        <v/>
      </c>
      <c r="K241" s="12" t="str">
        <f t="shared" si="51"/>
        <v/>
      </c>
      <c r="L241" s="12" t="str">
        <f t="shared" si="52"/>
        <v/>
      </c>
      <c r="M241" s="12" t="str">
        <f t="shared" si="53"/>
        <v/>
      </c>
      <c r="N241" s="12">
        <f t="shared" si="54"/>
        <v>2.3148148148144365E-4</v>
      </c>
      <c r="O241" s="12" t="str">
        <f t="shared" si="55"/>
        <v/>
      </c>
      <c r="P241" s="12" t="str">
        <f t="shared" si="56"/>
        <v/>
      </c>
      <c r="Q241" s="12">
        <f t="shared" si="57"/>
        <v>2.3148148148144365E-4</v>
      </c>
      <c r="R241" s="39" t="str">
        <f t="shared" si="58"/>
        <v/>
      </c>
      <c r="S241" s="39" t="str">
        <f t="shared" si="59"/>
        <v/>
      </c>
      <c r="V241" s="12" t="str">
        <f t="shared" si="47"/>
        <v/>
      </c>
      <c r="W241" s="22" t="str">
        <f t="shared" si="46"/>
        <v/>
      </c>
    </row>
    <row r="242" spans="1:23" x14ac:dyDescent="0.25">
      <c r="A242" s="67">
        <v>227</v>
      </c>
      <c r="B242" s="49"/>
      <c r="C242" s="48"/>
      <c r="D242" s="48"/>
      <c r="E242" s="67">
        <v>1</v>
      </c>
      <c r="F242" s="67">
        <v>95550</v>
      </c>
      <c r="G242" s="12">
        <f t="shared" si="33"/>
        <v>0.41377314814814814</v>
      </c>
      <c r="H242" s="12">
        <f t="shared" si="48"/>
        <v>1.1921296296296124E-3</v>
      </c>
      <c r="I242" s="12" t="str">
        <f t="shared" si="49"/>
        <v/>
      </c>
      <c r="J242" s="12" t="str">
        <f t="shared" si="50"/>
        <v/>
      </c>
      <c r="K242" s="12" t="str">
        <f t="shared" si="51"/>
        <v/>
      </c>
      <c r="L242" s="12" t="str">
        <f t="shared" si="52"/>
        <v/>
      </c>
      <c r="M242" s="12" t="str">
        <f t="shared" si="53"/>
        <v/>
      </c>
      <c r="N242" s="12" t="str">
        <f t="shared" si="54"/>
        <v/>
      </c>
      <c r="O242" s="12" t="str">
        <f t="shared" si="55"/>
        <v/>
      </c>
      <c r="P242" s="12" t="str">
        <f t="shared" si="56"/>
        <v/>
      </c>
      <c r="Q242" s="12">
        <f t="shared" si="57"/>
        <v>1.1921296296296124E-3</v>
      </c>
      <c r="R242" s="39">
        <f t="shared" si="58"/>
        <v>1.7166666666666668</v>
      </c>
      <c r="S242" s="39">
        <f t="shared" si="59"/>
        <v>1.7166666666666668</v>
      </c>
      <c r="V242" s="12">
        <f t="shared" si="47"/>
        <v>1.1921296296296124E-3</v>
      </c>
      <c r="W242" s="22" t="str">
        <f t="shared" si="46"/>
        <v/>
      </c>
    </row>
    <row r="243" spans="1:23" x14ac:dyDescent="0.25">
      <c r="A243" s="67">
        <v>228</v>
      </c>
      <c r="B243" s="49"/>
      <c r="C243" s="48"/>
      <c r="D243" s="82"/>
      <c r="E243" s="67">
        <v>4</v>
      </c>
      <c r="F243" s="67">
        <v>95749</v>
      </c>
      <c r="G243" s="12">
        <f t="shared" si="33"/>
        <v>0.41515046296296299</v>
      </c>
      <c r="H243" s="12" t="str">
        <f t="shared" si="48"/>
        <v/>
      </c>
      <c r="I243" s="12" t="str">
        <f t="shared" si="49"/>
        <v/>
      </c>
      <c r="J243" s="12" t="str">
        <f t="shared" si="50"/>
        <v/>
      </c>
      <c r="K243" s="12">
        <f t="shared" si="51"/>
        <v>1.3773148148148451E-3</v>
      </c>
      <c r="L243" s="12" t="str">
        <f t="shared" si="52"/>
        <v/>
      </c>
      <c r="M243" s="12" t="str">
        <f t="shared" si="53"/>
        <v/>
      </c>
      <c r="N243" s="12" t="str">
        <f t="shared" si="54"/>
        <v/>
      </c>
      <c r="O243" s="12" t="str">
        <f t="shared" si="55"/>
        <v/>
      </c>
      <c r="P243" s="12" t="str">
        <f t="shared" si="56"/>
        <v/>
      </c>
      <c r="Q243" s="12">
        <f t="shared" si="57"/>
        <v>1.3773148148148451E-3</v>
      </c>
      <c r="R243" s="39" t="str">
        <f t="shared" si="58"/>
        <v/>
      </c>
      <c r="S243" s="39" t="str">
        <f t="shared" si="59"/>
        <v/>
      </c>
      <c r="V243" s="12" t="str">
        <f t="shared" si="47"/>
        <v/>
      </c>
      <c r="W243" s="22" t="str">
        <f t="shared" si="46"/>
        <v/>
      </c>
    </row>
    <row r="244" spans="1:23" x14ac:dyDescent="0.25">
      <c r="A244" s="67">
        <v>229</v>
      </c>
      <c r="B244" s="50">
        <v>8</v>
      </c>
      <c r="C244" s="67"/>
      <c r="D244" s="82">
        <v>5</v>
      </c>
      <c r="E244" s="67">
        <v>7</v>
      </c>
      <c r="F244" s="67">
        <v>95807</v>
      </c>
      <c r="G244" s="12">
        <f t="shared" si="33"/>
        <v>0.4153587962962963</v>
      </c>
      <c r="H244" s="12" t="str">
        <f t="shared" si="48"/>
        <v/>
      </c>
      <c r="I244" s="12" t="str">
        <f t="shared" si="49"/>
        <v/>
      </c>
      <c r="J244" s="12" t="str">
        <f t="shared" si="50"/>
        <v/>
      </c>
      <c r="K244" s="12" t="str">
        <f t="shared" si="51"/>
        <v/>
      </c>
      <c r="L244" s="12" t="str">
        <f t="shared" si="52"/>
        <v/>
      </c>
      <c r="M244" s="12" t="str">
        <f t="shared" si="53"/>
        <v/>
      </c>
      <c r="N244" s="12">
        <f t="shared" si="54"/>
        <v>2.0833333333331039E-4</v>
      </c>
      <c r="O244" s="12" t="str">
        <f t="shared" si="55"/>
        <v/>
      </c>
      <c r="P244" s="12" t="str">
        <f t="shared" si="56"/>
        <v/>
      </c>
      <c r="Q244" s="12">
        <f t="shared" si="57"/>
        <v>2.0833333333331039E-4</v>
      </c>
      <c r="R244" s="39" t="str">
        <f t="shared" si="58"/>
        <v/>
      </c>
      <c r="S244" s="39" t="str">
        <f t="shared" si="59"/>
        <v/>
      </c>
      <c r="V244" s="12" t="str">
        <f t="shared" si="47"/>
        <v/>
      </c>
      <c r="W244" s="22" t="str">
        <f t="shared" si="46"/>
        <v/>
      </c>
    </row>
    <row r="245" spans="1:23" x14ac:dyDescent="0.25">
      <c r="A245" s="67">
        <v>230</v>
      </c>
      <c r="B245" s="50"/>
      <c r="C245" s="67"/>
      <c r="D245" s="48"/>
      <c r="E245" s="67">
        <v>1</v>
      </c>
      <c r="F245" s="67">
        <v>95950</v>
      </c>
      <c r="G245" s="12">
        <f t="shared" si="33"/>
        <v>0.41655092592592591</v>
      </c>
      <c r="H245" s="12">
        <f t="shared" si="48"/>
        <v>1.1921296296296124E-3</v>
      </c>
      <c r="I245" s="12" t="str">
        <f t="shared" si="49"/>
        <v/>
      </c>
      <c r="J245" s="12" t="str">
        <f t="shared" si="50"/>
        <v/>
      </c>
      <c r="K245" s="12" t="str">
        <f t="shared" si="51"/>
        <v/>
      </c>
      <c r="L245" s="12" t="str">
        <f t="shared" si="52"/>
        <v/>
      </c>
      <c r="M245" s="12" t="str">
        <f t="shared" si="53"/>
        <v/>
      </c>
      <c r="N245" s="12" t="str">
        <f t="shared" si="54"/>
        <v/>
      </c>
      <c r="O245" s="12" t="str">
        <f t="shared" si="55"/>
        <v/>
      </c>
      <c r="P245" s="12" t="str">
        <f t="shared" si="56"/>
        <v/>
      </c>
      <c r="Q245" s="12">
        <f t="shared" si="57"/>
        <v>1.1921296296296124E-3</v>
      </c>
      <c r="R245" s="39">
        <f t="shared" si="58"/>
        <v>1.7166666666666668</v>
      </c>
      <c r="S245" s="39">
        <f t="shared" si="59"/>
        <v>1.7166666666666668</v>
      </c>
      <c r="V245" s="12">
        <f t="shared" si="47"/>
        <v>1.1921296296296124E-3</v>
      </c>
      <c r="W245" s="22" t="str">
        <f t="shared" si="46"/>
        <v/>
      </c>
    </row>
    <row r="246" spans="1:23" x14ac:dyDescent="0.25">
      <c r="A246" s="67">
        <v>231</v>
      </c>
      <c r="B246" s="49"/>
      <c r="C246" s="48"/>
      <c r="D246" s="48"/>
      <c r="E246" s="67">
        <v>4</v>
      </c>
      <c r="F246" s="67">
        <v>100012</v>
      </c>
      <c r="G246" s="12">
        <f t="shared" si="33"/>
        <v>0.4168055555555556</v>
      </c>
      <c r="H246" s="12" t="str">
        <f t="shared" si="48"/>
        <v/>
      </c>
      <c r="I246" s="12" t="str">
        <f t="shared" si="49"/>
        <v/>
      </c>
      <c r="J246" s="12" t="str">
        <f t="shared" si="50"/>
        <v/>
      </c>
      <c r="K246" s="12">
        <f t="shared" si="51"/>
        <v>2.5462962962968794E-4</v>
      </c>
      <c r="L246" s="12" t="str">
        <f t="shared" si="52"/>
        <v/>
      </c>
      <c r="M246" s="12" t="str">
        <f t="shared" si="53"/>
        <v/>
      </c>
      <c r="N246" s="12" t="str">
        <f t="shared" si="54"/>
        <v/>
      </c>
      <c r="O246" s="12" t="str">
        <f t="shared" si="55"/>
        <v/>
      </c>
      <c r="P246" s="12" t="str">
        <f t="shared" si="56"/>
        <v/>
      </c>
      <c r="Q246" s="12">
        <f t="shared" si="57"/>
        <v>2.5462962962968794E-4</v>
      </c>
      <c r="R246" s="39" t="str">
        <f t="shared" si="58"/>
        <v/>
      </c>
      <c r="S246" s="39" t="str">
        <f t="shared" si="59"/>
        <v/>
      </c>
      <c r="V246" s="12" t="str">
        <f t="shared" si="47"/>
        <v/>
      </c>
      <c r="W246" s="22" t="str">
        <f t="shared" ref="W246:W309" si="60">_xlfn.IFS(V246="","",SECOND(V246)&lt;10,"",  (HOUR(V246)*3600+MINUTE(V246)*60+SECOND(V246))&gt;60,"", (HOUR(V246)*3600+MINUTE(V246)*60+SECOND(V246))&lt;60, HOUR(V246)*3600+MINUTE(V246)*60+SECOND(V246))</f>
        <v/>
      </c>
    </row>
    <row r="247" spans="1:23" x14ac:dyDescent="0.25">
      <c r="A247" s="67">
        <v>232</v>
      </c>
      <c r="B247" s="49">
        <v>9</v>
      </c>
      <c r="C247" s="48"/>
      <c r="D247" s="48">
        <v>5</v>
      </c>
      <c r="E247" s="67">
        <v>7</v>
      </c>
      <c r="F247" s="67">
        <v>100038</v>
      </c>
      <c r="G247" s="12">
        <f t="shared" si="33"/>
        <v>0.41710648148148149</v>
      </c>
      <c r="H247" s="12" t="str">
        <f t="shared" si="48"/>
        <v/>
      </c>
      <c r="I247" s="12" t="str">
        <f t="shared" si="49"/>
        <v/>
      </c>
      <c r="J247" s="12" t="str">
        <f t="shared" si="50"/>
        <v/>
      </c>
      <c r="K247" s="12" t="str">
        <f t="shared" si="51"/>
        <v/>
      </c>
      <c r="L247" s="12" t="str">
        <f t="shared" si="52"/>
        <v/>
      </c>
      <c r="M247" s="12" t="str">
        <f t="shared" si="53"/>
        <v/>
      </c>
      <c r="N247" s="12">
        <f t="shared" si="54"/>
        <v>3.0092592592589895E-4</v>
      </c>
      <c r="O247" s="12" t="str">
        <f t="shared" si="55"/>
        <v/>
      </c>
      <c r="P247" s="12" t="str">
        <f t="shared" si="56"/>
        <v/>
      </c>
      <c r="Q247" s="12">
        <f t="shared" si="57"/>
        <v>3.0092592592589895E-4</v>
      </c>
      <c r="R247" s="39" t="str">
        <f t="shared" si="58"/>
        <v/>
      </c>
      <c r="S247" s="39" t="str">
        <f t="shared" si="59"/>
        <v/>
      </c>
      <c r="V247" s="12" t="str">
        <f t="shared" si="47"/>
        <v/>
      </c>
      <c r="W247" s="22" t="str">
        <f t="shared" si="60"/>
        <v/>
      </c>
    </row>
    <row r="248" spans="1:23" x14ac:dyDescent="0.25">
      <c r="A248" s="67">
        <v>233</v>
      </c>
      <c r="B248" s="49"/>
      <c r="C248" s="48"/>
      <c r="D248" s="48"/>
      <c r="E248" s="67">
        <v>1</v>
      </c>
      <c r="F248" s="67">
        <v>100228</v>
      </c>
      <c r="G248" s="12">
        <f t="shared" si="33"/>
        <v>0.4183796296296296</v>
      </c>
      <c r="H248" s="12">
        <f t="shared" si="48"/>
        <v>1.2731481481481066E-3</v>
      </c>
      <c r="I248" s="12" t="str">
        <f t="shared" si="49"/>
        <v/>
      </c>
      <c r="J248" s="12" t="str">
        <f t="shared" si="50"/>
        <v/>
      </c>
      <c r="K248" s="12" t="str">
        <f t="shared" si="51"/>
        <v/>
      </c>
      <c r="L248" s="12" t="str">
        <f t="shared" si="52"/>
        <v/>
      </c>
      <c r="M248" s="12" t="str">
        <f t="shared" si="53"/>
        <v/>
      </c>
      <c r="N248" s="12" t="str">
        <f t="shared" si="54"/>
        <v/>
      </c>
      <c r="O248" s="12" t="str">
        <f t="shared" si="55"/>
        <v/>
      </c>
      <c r="P248" s="12" t="str">
        <f t="shared" si="56"/>
        <v/>
      </c>
      <c r="Q248" s="12">
        <f t="shared" si="57"/>
        <v>1.2731481481481066E-3</v>
      </c>
      <c r="R248" s="39">
        <f t="shared" si="58"/>
        <v>1.8333333333333335</v>
      </c>
      <c r="S248" s="39">
        <f t="shared" si="59"/>
        <v>1.8333333333333335</v>
      </c>
      <c r="V248" s="12">
        <f t="shared" si="47"/>
        <v>1.2731481481481066E-3</v>
      </c>
      <c r="W248" s="22" t="str">
        <f t="shared" si="60"/>
        <v/>
      </c>
    </row>
    <row r="249" spans="1:23" x14ac:dyDescent="0.25">
      <c r="A249" s="67">
        <v>234</v>
      </c>
      <c r="B249" s="49"/>
      <c r="C249" s="48"/>
      <c r="D249" s="48"/>
      <c r="E249" s="67">
        <v>8</v>
      </c>
      <c r="F249" s="67">
        <v>100332</v>
      </c>
      <c r="G249" s="12">
        <f t="shared" si="33"/>
        <v>0.41912037037037037</v>
      </c>
      <c r="H249" s="12" t="str">
        <f t="shared" si="48"/>
        <v/>
      </c>
      <c r="I249" s="12" t="str">
        <f t="shared" si="49"/>
        <v/>
      </c>
      <c r="J249" s="12" t="str">
        <f t="shared" si="50"/>
        <v/>
      </c>
      <c r="K249" s="12" t="str">
        <f t="shared" si="51"/>
        <v/>
      </c>
      <c r="L249" s="12" t="str">
        <f t="shared" si="52"/>
        <v/>
      </c>
      <c r="M249" s="12" t="str">
        <f t="shared" si="53"/>
        <v/>
      </c>
      <c r="N249" s="12" t="str">
        <f t="shared" si="54"/>
        <v/>
      </c>
      <c r="O249" s="12">
        <f t="shared" si="55"/>
        <v>7.4074074074076401E-4</v>
      </c>
      <c r="P249" s="12" t="str">
        <f t="shared" si="56"/>
        <v/>
      </c>
      <c r="Q249" s="12">
        <f t="shared" si="57"/>
        <v>7.4074074074076401E-4</v>
      </c>
      <c r="R249" s="39" t="str">
        <f t="shared" si="58"/>
        <v/>
      </c>
      <c r="S249" s="39" t="str">
        <f t="shared" si="59"/>
        <v/>
      </c>
      <c r="V249" s="12" t="str">
        <f t="shared" si="47"/>
        <v/>
      </c>
      <c r="W249" s="22" t="str">
        <f t="shared" si="60"/>
        <v/>
      </c>
    </row>
    <row r="250" spans="1:23" x14ac:dyDescent="0.25">
      <c r="A250" s="67">
        <v>235</v>
      </c>
      <c r="B250" s="49"/>
      <c r="C250" s="48"/>
      <c r="D250" s="48"/>
      <c r="E250" s="67">
        <v>4</v>
      </c>
      <c r="F250" s="67">
        <v>100350</v>
      </c>
      <c r="G250" s="12">
        <f t="shared" si="33"/>
        <v>0.41932870370370368</v>
      </c>
      <c r="H250" s="12" t="str">
        <f t="shared" si="48"/>
        <v/>
      </c>
      <c r="I250" s="12" t="str">
        <f t="shared" si="49"/>
        <v/>
      </c>
      <c r="J250" s="12" t="str">
        <f t="shared" si="50"/>
        <v/>
      </c>
      <c r="K250" s="12">
        <f t="shared" si="51"/>
        <v>2.0833333333331039E-4</v>
      </c>
      <c r="L250" s="12" t="str">
        <f t="shared" si="52"/>
        <v/>
      </c>
      <c r="M250" s="12" t="str">
        <f t="shared" si="53"/>
        <v/>
      </c>
      <c r="N250" s="12" t="str">
        <f t="shared" si="54"/>
        <v/>
      </c>
      <c r="O250" s="12" t="str">
        <f t="shared" si="55"/>
        <v/>
      </c>
      <c r="P250" s="12" t="str">
        <f t="shared" si="56"/>
        <v/>
      </c>
      <c r="Q250" s="12">
        <f t="shared" si="57"/>
        <v>2.0833333333331039E-4</v>
      </c>
      <c r="R250" s="39" t="str">
        <f t="shared" si="58"/>
        <v/>
      </c>
      <c r="S250" s="39" t="str">
        <f t="shared" si="59"/>
        <v/>
      </c>
      <c r="V250" s="12" t="str">
        <f t="shared" si="47"/>
        <v/>
      </c>
      <c r="W250" s="22" t="str">
        <f t="shared" si="60"/>
        <v/>
      </c>
    </row>
    <row r="251" spans="1:23" x14ac:dyDescent="0.25">
      <c r="A251" s="67">
        <v>236</v>
      </c>
      <c r="B251" s="49">
        <v>5</v>
      </c>
      <c r="C251" s="48"/>
      <c r="D251" s="48">
        <v>5</v>
      </c>
      <c r="E251" s="67">
        <v>7</v>
      </c>
      <c r="F251" s="67">
        <v>100403</v>
      </c>
      <c r="G251" s="12">
        <f t="shared" si="33"/>
        <v>0.41947916666666668</v>
      </c>
      <c r="H251" s="12" t="str">
        <f t="shared" si="48"/>
        <v/>
      </c>
      <c r="I251" s="12" t="str">
        <f t="shared" si="49"/>
        <v/>
      </c>
      <c r="J251" s="12" t="str">
        <f t="shared" si="50"/>
        <v/>
      </c>
      <c r="K251" s="12" t="str">
        <f t="shared" si="51"/>
        <v/>
      </c>
      <c r="L251" s="12" t="str">
        <f t="shared" si="52"/>
        <v/>
      </c>
      <c r="M251" s="12" t="str">
        <f t="shared" si="53"/>
        <v/>
      </c>
      <c r="N251" s="12">
        <f t="shared" si="54"/>
        <v>1.5046296296300499E-4</v>
      </c>
      <c r="O251" s="12" t="str">
        <f t="shared" si="55"/>
        <v/>
      </c>
      <c r="P251" s="12" t="str">
        <f t="shared" si="56"/>
        <v/>
      </c>
      <c r="Q251" s="12">
        <f t="shared" si="57"/>
        <v>1.5046296296300499E-4</v>
      </c>
      <c r="R251" s="39" t="str">
        <f t="shared" si="58"/>
        <v/>
      </c>
      <c r="S251" s="39" t="str">
        <f t="shared" si="59"/>
        <v/>
      </c>
      <c r="V251" s="12" t="str">
        <f t="shared" si="47"/>
        <v/>
      </c>
      <c r="W251" s="22" t="str">
        <f t="shared" si="60"/>
        <v/>
      </c>
    </row>
    <row r="252" spans="1:23" x14ac:dyDescent="0.25">
      <c r="A252" s="67">
        <v>237</v>
      </c>
      <c r="B252" s="49"/>
      <c r="C252" s="48"/>
      <c r="D252" s="48"/>
      <c r="E252" s="67">
        <v>1</v>
      </c>
      <c r="F252" s="67">
        <v>100551</v>
      </c>
      <c r="G252" s="12">
        <f t="shared" si="33"/>
        <v>0.42072916666666665</v>
      </c>
      <c r="H252" s="12">
        <f t="shared" si="48"/>
        <v>1.2499999999999734E-3</v>
      </c>
      <c r="I252" s="12" t="str">
        <f t="shared" si="49"/>
        <v/>
      </c>
      <c r="J252" s="12" t="str">
        <f t="shared" si="50"/>
        <v/>
      </c>
      <c r="K252" s="12" t="str">
        <f t="shared" si="51"/>
        <v/>
      </c>
      <c r="L252" s="12" t="str">
        <f t="shared" si="52"/>
        <v/>
      </c>
      <c r="M252" s="12" t="str">
        <f t="shared" si="53"/>
        <v/>
      </c>
      <c r="N252" s="12" t="str">
        <f t="shared" si="54"/>
        <v/>
      </c>
      <c r="O252" s="12" t="str">
        <f t="shared" si="55"/>
        <v/>
      </c>
      <c r="P252" s="12" t="str">
        <f t="shared" si="56"/>
        <v/>
      </c>
      <c r="Q252" s="12">
        <f t="shared" si="57"/>
        <v>1.2499999999999734E-3</v>
      </c>
      <c r="R252" s="39">
        <f t="shared" si="58"/>
        <v>1.8</v>
      </c>
      <c r="S252" s="39">
        <f t="shared" si="59"/>
        <v>1.8</v>
      </c>
      <c r="V252" s="12">
        <f t="shared" si="47"/>
        <v>1.2499999999999734E-3</v>
      </c>
      <c r="W252" s="22" t="str">
        <f t="shared" si="60"/>
        <v/>
      </c>
    </row>
    <row r="253" spans="1:23" x14ac:dyDescent="0.25">
      <c r="A253" s="67">
        <v>238</v>
      </c>
      <c r="B253" s="49"/>
      <c r="C253" s="48"/>
      <c r="D253" s="82"/>
      <c r="E253" s="67">
        <v>4</v>
      </c>
      <c r="F253" s="67">
        <v>100626</v>
      </c>
      <c r="G253" s="12">
        <f t="shared" si="33"/>
        <v>0.42113425925925929</v>
      </c>
      <c r="H253" s="12" t="str">
        <f t="shared" si="48"/>
        <v/>
      </c>
      <c r="I253" s="12" t="str">
        <f t="shared" si="49"/>
        <v/>
      </c>
      <c r="J253" s="12" t="str">
        <f t="shared" si="50"/>
        <v/>
      </c>
      <c r="K253" s="12">
        <f t="shared" si="51"/>
        <v>4.0509259259263741E-4</v>
      </c>
      <c r="L253" s="12" t="str">
        <f t="shared" si="52"/>
        <v/>
      </c>
      <c r="M253" s="12" t="str">
        <f t="shared" si="53"/>
        <v/>
      </c>
      <c r="N253" s="12" t="str">
        <f t="shared" si="54"/>
        <v/>
      </c>
      <c r="O253" s="12" t="str">
        <f t="shared" si="55"/>
        <v/>
      </c>
      <c r="P253" s="12" t="str">
        <f t="shared" si="56"/>
        <v/>
      </c>
      <c r="Q253" s="12">
        <f t="shared" si="57"/>
        <v>4.0509259259263741E-4</v>
      </c>
      <c r="R253" s="39" t="str">
        <f t="shared" si="58"/>
        <v/>
      </c>
      <c r="S253" s="39" t="str">
        <f t="shared" si="59"/>
        <v/>
      </c>
      <c r="V253" s="12" t="str">
        <f t="shared" si="47"/>
        <v/>
      </c>
      <c r="W253" s="22" t="str">
        <f t="shared" si="60"/>
        <v/>
      </c>
    </row>
    <row r="254" spans="1:23" x14ac:dyDescent="0.25">
      <c r="A254" s="67">
        <v>239</v>
      </c>
      <c r="B254" s="67">
        <v>10</v>
      </c>
      <c r="C254" s="67"/>
      <c r="D254" s="82">
        <v>5</v>
      </c>
      <c r="E254" s="67">
        <v>7</v>
      </c>
      <c r="F254" s="67">
        <v>100641</v>
      </c>
      <c r="G254" s="12">
        <f t="shared" si="33"/>
        <v>0.42130787037037037</v>
      </c>
      <c r="H254" s="12" t="str">
        <f t="shared" si="48"/>
        <v/>
      </c>
      <c r="I254" s="12" t="str">
        <f t="shared" si="49"/>
        <v/>
      </c>
      <c r="J254" s="12" t="str">
        <f t="shared" si="50"/>
        <v/>
      </c>
      <c r="K254" s="12" t="str">
        <f t="shared" si="51"/>
        <v/>
      </c>
      <c r="L254" s="12" t="str">
        <f t="shared" si="52"/>
        <v/>
      </c>
      <c r="M254" s="12" t="str">
        <f t="shared" si="53"/>
        <v/>
      </c>
      <c r="N254" s="12">
        <f t="shared" si="54"/>
        <v>1.7361111111108274E-4</v>
      </c>
      <c r="O254" s="12" t="str">
        <f t="shared" si="55"/>
        <v/>
      </c>
      <c r="P254" s="12" t="str">
        <f t="shared" si="56"/>
        <v/>
      </c>
      <c r="Q254" s="12">
        <f t="shared" si="57"/>
        <v>1.7361111111108274E-4</v>
      </c>
      <c r="R254" s="39" t="str">
        <f t="shared" si="58"/>
        <v/>
      </c>
      <c r="S254" s="39" t="str">
        <f t="shared" si="59"/>
        <v/>
      </c>
      <c r="V254" s="12" t="str">
        <f t="shared" si="47"/>
        <v/>
      </c>
      <c r="W254" s="22" t="str">
        <f t="shared" si="60"/>
        <v/>
      </c>
    </row>
    <row r="255" spans="1:23" x14ac:dyDescent="0.25">
      <c r="A255" s="67">
        <v>240</v>
      </c>
      <c r="B255" s="67"/>
      <c r="C255" s="67"/>
      <c r="D255" s="48"/>
      <c r="E255" s="67">
        <v>1</v>
      </c>
      <c r="F255" s="67">
        <v>100830</v>
      </c>
      <c r="G255" s="12">
        <f t="shared" si="33"/>
        <v>0.4225694444444445</v>
      </c>
      <c r="H255" s="12">
        <f t="shared" si="48"/>
        <v>1.2615740740741233E-3</v>
      </c>
      <c r="I255" s="12" t="str">
        <f t="shared" si="49"/>
        <v/>
      </c>
      <c r="J255" s="12" t="str">
        <f t="shared" si="50"/>
        <v/>
      </c>
      <c r="K255" s="12" t="str">
        <f t="shared" si="51"/>
        <v/>
      </c>
      <c r="L255" s="12" t="str">
        <f t="shared" si="52"/>
        <v/>
      </c>
      <c r="M255" s="12" t="str">
        <f t="shared" si="53"/>
        <v/>
      </c>
      <c r="N255" s="12" t="str">
        <f t="shared" si="54"/>
        <v/>
      </c>
      <c r="O255" s="12" t="str">
        <f t="shared" si="55"/>
        <v/>
      </c>
      <c r="P255" s="12" t="str">
        <f t="shared" si="56"/>
        <v/>
      </c>
      <c r="Q255" s="12">
        <f t="shared" si="57"/>
        <v>1.2615740740741233E-3</v>
      </c>
      <c r="R255" s="39">
        <f t="shared" si="58"/>
        <v>1.8166666666666667</v>
      </c>
      <c r="S255" s="39">
        <f t="shared" si="59"/>
        <v>1.8166666666666667</v>
      </c>
      <c r="V255" s="12">
        <f t="shared" si="47"/>
        <v>1.2615740740741233E-3</v>
      </c>
      <c r="W255" s="22" t="str">
        <f t="shared" si="60"/>
        <v/>
      </c>
    </row>
    <row r="256" spans="1:23" x14ac:dyDescent="0.25">
      <c r="A256" s="67">
        <v>241</v>
      </c>
      <c r="B256" s="49"/>
      <c r="C256" s="48"/>
      <c r="D256" s="48"/>
      <c r="E256" s="67">
        <v>4</v>
      </c>
      <c r="F256" s="67">
        <v>100856</v>
      </c>
      <c r="G256" s="12">
        <f t="shared" si="33"/>
        <v>0.4228703703703704</v>
      </c>
      <c r="H256" s="12" t="str">
        <f t="shared" si="48"/>
        <v/>
      </c>
      <c r="I256" s="12" t="str">
        <f t="shared" si="49"/>
        <v/>
      </c>
      <c r="J256" s="12" t="str">
        <f t="shared" si="50"/>
        <v/>
      </c>
      <c r="K256" s="12">
        <f t="shared" si="51"/>
        <v>3.0092592592589895E-4</v>
      </c>
      <c r="L256" s="12" t="str">
        <f t="shared" si="52"/>
        <v/>
      </c>
      <c r="M256" s="12" t="str">
        <f t="shared" si="53"/>
        <v/>
      </c>
      <c r="N256" s="12" t="str">
        <f t="shared" si="54"/>
        <v/>
      </c>
      <c r="O256" s="12" t="str">
        <f t="shared" si="55"/>
        <v/>
      </c>
      <c r="P256" s="12" t="str">
        <f t="shared" si="56"/>
        <v/>
      </c>
      <c r="Q256" s="12">
        <f t="shared" si="57"/>
        <v>3.0092592592589895E-4</v>
      </c>
      <c r="R256" s="39" t="str">
        <f t="shared" si="58"/>
        <v/>
      </c>
      <c r="S256" s="39" t="str">
        <f t="shared" si="59"/>
        <v/>
      </c>
      <c r="V256" s="12" t="str">
        <f t="shared" si="47"/>
        <v/>
      </c>
      <c r="W256" s="22" t="str">
        <f t="shared" si="60"/>
        <v/>
      </c>
    </row>
    <row r="257" spans="1:23" x14ac:dyDescent="0.25">
      <c r="A257" s="67">
        <v>242</v>
      </c>
      <c r="B257" s="49">
        <v>12</v>
      </c>
      <c r="C257" s="48"/>
      <c r="D257" s="48">
        <v>5</v>
      </c>
      <c r="E257" s="67">
        <v>7</v>
      </c>
      <c r="F257" s="67">
        <v>100919</v>
      </c>
      <c r="G257" s="12">
        <f t="shared" si="33"/>
        <v>0.42313657407407407</v>
      </c>
      <c r="H257" s="12" t="str">
        <f t="shared" si="48"/>
        <v/>
      </c>
      <c r="I257" s="12" t="str">
        <f t="shared" si="49"/>
        <v/>
      </c>
      <c r="J257" s="12" t="str">
        <f t="shared" si="50"/>
        <v/>
      </c>
      <c r="K257" s="12" t="str">
        <f t="shared" si="51"/>
        <v/>
      </c>
      <c r="L257" s="12" t="str">
        <f t="shared" si="52"/>
        <v/>
      </c>
      <c r="M257" s="12" t="str">
        <f t="shared" si="53"/>
        <v/>
      </c>
      <c r="N257" s="12">
        <f t="shared" si="54"/>
        <v>2.662037037036713E-4</v>
      </c>
      <c r="O257" s="12" t="str">
        <f t="shared" si="55"/>
        <v/>
      </c>
      <c r="P257" s="12" t="str">
        <f t="shared" si="56"/>
        <v/>
      </c>
      <c r="Q257" s="12">
        <f t="shared" si="57"/>
        <v>2.662037037036713E-4</v>
      </c>
      <c r="R257" s="39" t="str">
        <f t="shared" si="58"/>
        <v/>
      </c>
      <c r="S257" s="39" t="str">
        <f t="shared" si="59"/>
        <v/>
      </c>
      <c r="V257" s="12" t="str">
        <f t="shared" si="47"/>
        <v/>
      </c>
      <c r="W257" s="22" t="str">
        <f t="shared" si="60"/>
        <v/>
      </c>
    </row>
    <row r="258" spans="1:23" x14ac:dyDescent="0.25">
      <c r="A258" s="67">
        <v>243</v>
      </c>
      <c r="B258" s="49"/>
      <c r="C258" s="48"/>
      <c r="D258" s="48"/>
      <c r="E258" s="67">
        <v>1</v>
      </c>
      <c r="F258" s="67">
        <v>101107</v>
      </c>
      <c r="G258" s="12">
        <f t="shared" si="33"/>
        <v>0.42438657407407404</v>
      </c>
      <c r="H258" s="12">
        <f t="shared" si="48"/>
        <v>1.2499999999999734E-3</v>
      </c>
      <c r="I258" s="12" t="str">
        <f t="shared" si="49"/>
        <v/>
      </c>
      <c r="J258" s="12" t="str">
        <f t="shared" si="50"/>
        <v/>
      </c>
      <c r="K258" s="12" t="str">
        <f t="shared" si="51"/>
        <v/>
      </c>
      <c r="L258" s="12" t="str">
        <f t="shared" si="52"/>
        <v/>
      </c>
      <c r="M258" s="12" t="str">
        <f t="shared" si="53"/>
        <v/>
      </c>
      <c r="N258" s="12" t="str">
        <f t="shared" si="54"/>
        <v/>
      </c>
      <c r="O258" s="12" t="str">
        <f t="shared" si="55"/>
        <v/>
      </c>
      <c r="P258" s="12" t="str">
        <f t="shared" si="56"/>
        <v/>
      </c>
      <c r="Q258" s="12">
        <f t="shared" si="57"/>
        <v>1.2499999999999734E-3</v>
      </c>
      <c r="R258" s="39">
        <f t="shared" si="58"/>
        <v>1.8</v>
      </c>
      <c r="S258" s="39">
        <f t="shared" si="59"/>
        <v>1.8</v>
      </c>
      <c r="V258" s="12">
        <f t="shared" si="47"/>
        <v>1.2499999999999734E-3</v>
      </c>
      <c r="W258" s="22" t="str">
        <f t="shared" si="60"/>
        <v/>
      </c>
    </row>
    <row r="259" spans="1:23" x14ac:dyDescent="0.25">
      <c r="A259" s="67">
        <v>244</v>
      </c>
      <c r="B259" s="49"/>
      <c r="C259" s="48"/>
      <c r="D259" s="48"/>
      <c r="E259" s="67">
        <v>8</v>
      </c>
      <c r="F259" s="67">
        <v>101246</v>
      </c>
      <c r="G259" s="12">
        <f t="shared" si="33"/>
        <v>0.42553240740740739</v>
      </c>
      <c r="H259" s="12" t="str">
        <f t="shared" si="48"/>
        <v/>
      </c>
      <c r="I259" s="12" t="str">
        <f t="shared" si="49"/>
        <v/>
      </c>
      <c r="J259" s="12" t="str">
        <f t="shared" si="50"/>
        <v/>
      </c>
      <c r="K259" s="12" t="str">
        <f t="shared" si="51"/>
        <v/>
      </c>
      <c r="L259" s="12" t="str">
        <f t="shared" si="52"/>
        <v/>
      </c>
      <c r="M259" s="12" t="str">
        <f t="shared" si="53"/>
        <v/>
      </c>
      <c r="N259" s="12" t="str">
        <f t="shared" si="54"/>
        <v/>
      </c>
      <c r="O259" s="12">
        <f t="shared" si="55"/>
        <v>1.1458333333333459E-3</v>
      </c>
      <c r="P259" s="12" t="str">
        <f t="shared" si="56"/>
        <v/>
      </c>
      <c r="Q259" s="12">
        <f t="shared" si="57"/>
        <v>1.1458333333333459E-3</v>
      </c>
      <c r="R259" s="39" t="str">
        <f t="shared" si="58"/>
        <v/>
      </c>
      <c r="S259" s="39" t="str">
        <f t="shared" si="59"/>
        <v/>
      </c>
      <c r="V259" s="12" t="str">
        <f t="shared" si="47"/>
        <v/>
      </c>
      <c r="W259" s="22" t="str">
        <f t="shared" si="60"/>
        <v/>
      </c>
    </row>
    <row r="260" spans="1:23" x14ac:dyDescent="0.25">
      <c r="A260" s="67">
        <v>245</v>
      </c>
      <c r="B260" s="49"/>
      <c r="C260" s="48"/>
      <c r="D260" s="48"/>
      <c r="E260" s="67">
        <v>3</v>
      </c>
      <c r="F260" s="67">
        <v>101406</v>
      </c>
      <c r="G260" s="12">
        <f t="shared" si="33"/>
        <v>0.42645833333333333</v>
      </c>
      <c r="H260" s="12" t="str">
        <f t="shared" si="48"/>
        <v/>
      </c>
      <c r="I260" s="12" t="str">
        <f t="shared" si="49"/>
        <v/>
      </c>
      <c r="J260" s="12">
        <f t="shared" si="50"/>
        <v>9.2592592592594114E-4</v>
      </c>
      <c r="K260" s="12" t="str">
        <f t="shared" si="51"/>
        <v/>
      </c>
      <c r="L260" s="12" t="str">
        <f t="shared" si="52"/>
        <v/>
      </c>
      <c r="M260" s="12" t="str">
        <f t="shared" si="53"/>
        <v/>
      </c>
      <c r="N260" s="12" t="str">
        <f t="shared" si="54"/>
        <v/>
      </c>
      <c r="O260" s="12" t="str">
        <f t="shared" si="55"/>
        <v/>
      </c>
      <c r="P260" s="12" t="str">
        <f t="shared" si="56"/>
        <v/>
      </c>
      <c r="Q260" s="12">
        <f t="shared" si="57"/>
        <v>9.2592592592594114E-4</v>
      </c>
      <c r="R260" s="39" t="str">
        <f t="shared" si="58"/>
        <v/>
      </c>
      <c r="S260" s="39" t="str">
        <f t="shared" si="59"/>
        <v/>
      </c>
      <c r="V260" s="12" t="str">
        <f t="shared" si="47"/>
        <v/>
      </c>
      <c r="W260" s="22" t="str">
        <f t="shared" si="60"/>
        <v/>
      </c>
    </row>
    <row r="261" spans="1:23" x14ac:dyDescent="0.25">
      <c r="A261" s="67">
        <v>246</v>
      </c>
      <c r="B261" s="49">
        <v>7</v>
      </c>
      <c r="C261" s="48"/>
      <c r="D261" s="48">
        <v>5</v>
      </c>
      <c r="E261" s="67">
        <v>7</v>
      </c>
      <c r="F261" s="67">
        <v>101439</v>
      </c>
      <c r="G261" s="12">
        <f t="shared" si="33"/>
        <v>0.42684027777777778</v>
      </c>
      <c r="H261" s="12" t="str">
        <f t="shared" si="48"/>
        <v/>
      </c>
      <c r="I261" s="12" t="str">
        <f t="shared" si="49"/>
        <v/>
      </c>
      <c r="J261" s="12" t="str">
        <f t="shared" si="50"/>
        <v/>
      </c>
      <c r="K261" s="12" t="str">
        <f t="shared" si="51"/>
        <v/>
      </c>
      <c r="L261" s="12" t="str">
        <f t="shared" si="52"/>
        <v/>
      </c>
      <c r="M261" s="12" t="str">
        <f t="shared" si="53"/>
        <v/>
      </c>
      <c r="N261" s="12">
        <f t="shared" si="54"/>
        <v>3.8194444444444864E-4</v>
      </c>
      <c r="O261" s="12" t="str">
        <f t="shared" si="55"/>
        <v/>
      </c>
      <c r="P261" s="12" t="str">
        <f t="shared" si="56"/>
        <v/>
      </c>
      <c r="Q261" s="12">
        <f t="shared" si="57"/>
        <v>3.8194444444444864E-4</v>
      </c>
      <c r="R261" s="39" t="str">
        <f t="shared" si="58"/>
        <v/>
      </c>
      <c r="S261" s="39" t="str">
        <f t="shared" si="59"/>
        <v/>
      </c>
      <c r="V261" s="12" t="str">
        <f t="shared" si="47"/>
        <v/>
      </c>
      <c r="W261" s="22" t="str">
        <f t="shared" si="60"/>
        <v/>
      </c>
    </row>
    <row r="262" spans="1:23" x14ac:dyDescent="0.25">
      <c r="A262" s="67">
        <v>247</v>
      </c>
      <c r="B262" s="49"/>
      <c r="C262" s="48"/>
      <c r="D262" s="48"/>
      <c r="E262" s="67">
        <v>1</v>
      </c>
      <c r="F262" s="67">
        <v>101648</v>
      </c>
      <c r="G262" s="12">
        <f t="shared" si="33"/>
        <v>0.42833333333333329</v>
      </c>
      <c r="H262" s="12">
        <f t="shared" si="48"/>
        <v>1.4930555555555114E-3</v>
      </c>
      <c r="I262" s="12" t="str">
        <f t="shared" si="49"/>
        <v/>
      </c>
      <c r="J262" s="12" t="str">
        <f t="shared" si="50"/>
        <v/>
      </c>
      <c r="K262" s="12" t="str">
        <f t="shared" si="51"/>
        <v/>
      </c>
      <c r="L262" s="12" t="str">
        <f t="shared" si="52"/>
        <v/>
      </c>
      <c r="M262" s="12" t="str">
        <f t="shared" si="53"/>
        <v/>
      </c>
      <c r="N262" s="12" t="str">
        <f t="shared" si="54"/>
        <v/>
      </c>
      <c r="O262" s="12" t="str">
        <f t="shared" si="55"/>
        <v/>
      </c>
      <c r="P262" s="12" t="str">
        <f t="shared" si="56"/>
        <v/>
      </c>
      <c r="Q262" s="12">
        <f t="shared" si="57"/>
        <v>1.4930555555555114E-3</v>
      </c>
      <c r="R262" s="39">
        <f t="shared" si="58"/>
        <v>2.15</v>
      </c>
      <c r="S262" s="39">
        <f t="shared" si="59"/>
        <v>2.15</v>
      </c>
      <c r="V262" s="12">
        <f t="shared" si="47"/>
        <v>1.4930555555555114E-3</v>
      </c>
      <c r="W262" s="22" t="str">
        <f t="shared" si="60"/>
        <v/>
      </c>
    </row>
    <row r="263" spans="1:23" x14ac:dyDescent="0.25">
      <c r="A263" s="67">
        <v>248</v>
      </c>
      <c r="B263" s="49"/>
      <c r="C263" s="48"/>
      <c r="D263" s="48"/>
      <c r="E263" s="67">
        <v>4</v>
      </c>
      <c r="F263" s="67">
        <v>101717</v>
      </c>
      <c r="G263" s="12">
        <f t="shared" si="33"/>
        <v>0.42866898148148147</v>
      </c>
      <c r="H263" s="12" t="str">
        <f t="shared" si="48"/>
        <v/>
      </c>
      <c r="I263" s="12" t="str">
        <f t="shared" si="49"/>
        <v/>
      </c>
      <c r="J263" s="12" t="str">
        <f t="shared" si="50"/>
        <v/>
      </c>
      <c r="K263" s="12">
        <f t="shared" si="51"/>
        <v>3.3564814814818211E-4</v>
      </c>
      <c r="L263" s="12" t="str">
        <f t="shared" si="52"/>
        <v/>
      </c>
      <c r="M263" s="12" t="str">
        <f t="shared" si="53"/>
        <v/>
      </c>
      <c r="N263" s="12" t="str">
        <f t="shared" si="54"/>
        <v/>
      </c>
      <c r="O263" s="12" t="str">
        <f t="shared" si="55"/>
        <v/>
      </c>
      <c r="P263" s="12" t="str">
        <f t="shared" si="56"/>
        <v/>
      </c>
      <c r="Q263" s="12">
        <f t="shared" si="57"/>
        <v>3.3564814814818211E-4</v>
      </c>
      <c r="R263" s="39" t="str">
        <f t="shared" si="58"/>
        <v/>
      </c>
      <c r="S263" s="39" t="str">
        <f t="shared" si="59"/>
        <v/>
      </c>
      <c r="V263" s="12" t="str">
        <f t="shared" si="47"/>
        <v/>
      </c>
      <c r="W263" s="22" t="str">
        <f t="shared" si="60"/>
        <v/>
      </c>
    </row>
    <row r="264" spans="1:23" x14ac:dyDescent="0.25">
      <c r="A264" s="67">
        <v>249</v>
      </c>
      <c r="B264" s="49">
        <v>8</v>
      </c>
      <c r="C264" s="48"/>
      <c r="D264" s="82">
        <v>5</v>
      </c>
      <c r="E264" s="67">
        <v>7</v>
      </c>
      <c r="F264" s="67">
        <v>101744</v>
      </c>
      <c r="G264" s="12">
        <f t="shared" si="33"/>
        <v>0.42898148148148146</v>
      </c>
      <c r="H264" s="12" t="str">
        <f t="shared" si="48"/>
        <v/>
      </c>
      <c r="I264" s="12" t="str">
        <f t="shared" si="49"/>
        <v/>
      </c>
      <c r="J264" s="12" t="str">
        <f t="shared" si="50"/>
        <v/>
      </c>
      <c r="K264" s="12" t="str">
        <f t="shared" si="51"/>
        <v/>
      </c>
      <c r="L264" s="12" t="str">
        <f t="shared" si="52"/>
        <v/>
      </c>
      <c r="M264" s="12" t="str">
        <f t="shared" si="53"/>
        <v/>
      </c>
      <c r="N264" s="12">
        <f t="shared" si="54"/>
        <v>3.1249999999999334E-4</v>
      </c>
      <c r="O264" s="12" t="str">
        <f t="shared" si="55"/>
        <v/>
      </c>
      <c r="P264" s="12" t="str">
        <f t="shared" si="56"/>
        <v/>
      </c>
      <c r="Q264" s="12">
        <f t="shared" si="57"/>
        <v>3.1249999999999334E-4</v>
      </c>
      <c r="R264" s="39" t="str">
        <f t="shared" si="58"/>
        <v/>
      </c>
      <c r="S264" s="39" t="str">
        <f t="shared" si="59"/>
        <v/>
      </c>
      <c r="V264" s="12" t="str">
        <f t="shared" si="47"/>
        <v/>
      </c>
      <c r="W264" s="22" t="str">
        <f t="shared" si="60"/>
        <v/>
      </c>
    </row>
    <row r="265" spans="1:23" x14ac:dyDescent="0.25">
      <c r="A265" s="67">
        <v>250</v>
      </c>
      <c r="B265" s="67"/>
      <c r="C265" s="67"/>
      <c r="D265" s="82"/>
      <c r="E265" s="67">
        <v>1</v>
      </c>
      <c r="F265" s="67">
        <v>102000</v>
      </c>
      <c r="G265" s="12">
        <f t="shared" si="33"/>
        <v>0.43055555555555558</v>
      </c>
      <c r="H265" s="12">
        <f t="shared" si="48"/>
        <v>1.5740740740741166E-3</v>
      </c>
      <c r="I265" s="12" t="str">
        <f t="shared" si="49"/>
        <v/>
      </c>
      <c r="J265" s="12" t="str">
        <f t="shared" si="50"/>
        <v/>
      </c>
      <c r="K265" s="12" t="str">
        <f t="shared" si="51"/>
        <v/>
      </c>
      <c r="L265" s="12" t="str">
        <f t="shared" si="52"/>
        <v/>
      </c>
      <c r="M265" s="12" t="str">
        <f t="shared" si="53"/>
        <v/>
      </c>
      <c r="N265" s="12" t="str">
        <f t="shared" si="54"/>
        <v/>
      </c>
      <c r="O265" s="12" t="str">
        <f t="shared" si="55"/>
        <v/>
      </c>
      <c r="P265" s="12" t="str">
        <f t="shared" si="56"/>
        <v/>
      </c>
      <c r="Q265" s="12">
        <f t="shared" si="57"/>
        <v>1.5740740740741166E-3</v>
      </c>
      <c r="R265" s="39">
        <f t="shared" si="58"/>
        <v>2.2666666666666666</v>
      </c>
      <c r="S265" s="39">
        <f t="shared" si="59"/>
        <v>2.2666666666666666</v>
      </c>
      <c r="V265" s="12">
        <f t="shared" si="47"/>
        <v>1.5740740740741166E-3</v>
      </c>
      <c r="W265" s="22" t="str">
        <f t="shared" si="60"/>
        <v/>
      </c>
    </row>
    <row r="266" spans="1:23" x14ac:dyDescent="0.25">
      <c r="A266" s="67">
        <v>251</v>
      </c>
      <c r="B266" s="67"/>
      <c r="C266" s="67"/>
      <c r="D266" s="48"/>
      <c r="E266" s="67">
        <v>4</v>
      </c>
      <c r="F266" s="67">
        <v>102034</v>
      </c>
      <c r="G266" s="12">
        <f t="shared" si="33"/>
        <v>0.43094907407407407</v>
      </c>
      <c r="H266" s="12" t="str">
        <f t="shared" si="48"/>
        <v/>
      </c>
      <c r="I266" s="12" t="str">
        <f t="shared" si="49"/>
        <v/>
      </c>
      <c r="J266" s="12" t="str">
        <f t="shared" si="50"/>
        <v/>
      </c>
      <c r="K266" s="12">
        <f t="shared" si="51"/>
        <v>3.9351851851848751E-4</v>
      </c>
      <c r="L266" s="12" t="str">
        <f t="shared" si="52"/>
        <v/>
      </c>
      <c r="M266" s="12" t="str">
        <f t="shared" si="53"/>
        <v/>
      </c>
      <c r="N266" s="12" t="str">
        <f t="shared" si="54"/>
        <v/>
      </c>
      <c r="O266" s="12" t="str">
        <f t="shared" si="55"/>
        <v/>
      </c>
      <c r="P266" s="12" t="str">
        <f t="shared" si="56"/>
        <v/>
      </c>
      <c r="Q266" s="12">
        <f t="shared" si="57"/>
        <v>3.9351851851848751E-4</v>
      </c>
      <c r="R266" s="39" t="str">
        <f t="shared" si="58"/>
        <v/>
      </c>
      <c r="S266" s="39" t="str">
        <f t="shared" si="59"/>
        <v/>
      </c>
      <c r="V266" s="12" t="str">
        <f t="shared" si="47"/>
        <v/>
      </c>
      <c r="W266" s="22" t="str">
        <f t="shared" si="60"/>
        <v/>
      </c>
    </row>
    <row r="267" spans="1:23" x14ac:dyDescent="0.25">
      <c r="A267" s="67">
        <v>252</v>
      </c>
      <c r="B267" s="48">
        <v>9</v>
      </c>
      <c r="C267" s="48"/>
      <c r="D267" s="48">
        <v>7</v>
      </c>
      <c r="E267" s="67">
        <v>7</v>
      </c>
      <c r="F267" s="67">
        <v>102051</v>
      </c>
      <c r="G267" s="12">
        <f t="shared" si="33"/>
        <v>0.43114583333333334</v>
      </c>
      <c r="H267" s="12" t="str">
        <f t="shared" si="48"/>
        <v/>
      </c>
      <c r="I267" s="12" t="str">
        <f t="shared" si="49"/>
        <v/>
      </c>
      <c r="J267" s="12" t="str">
        <f t="shared" si="50"/>
        <v/>
      </c>
      <c r="K267" s="12" t="str">
        <f t="shared" si="51"/>
        <v/>
      </c>
      <c r="L267" s="12" t="str">
        <f t="shared" si="52"/>
        <v/>
      </c>
      <c r="M267" s="12" t="str">
        <f t="shared" si="53"/>
        <v/>
      </c>
      <c r="N267" s="12">
        <f t="shared" si="54"/>
        <v>1.9675925925927151E-4</v>
      </c>
      <c r="O267" s="12" t="str">
        <f t="shared" si="55"/>
        <v/>
      </c>
      <c r="P267" s="12" t="str">
        <f t="shared" si="56"/>
        <v/>
      </c>
      <c r="Q267" s="12">
        <f t="shared" si="57"/>
        <v>1.9675925925927151E-4</v>
      </c>
      <c r="R267" s="39" t="str">
        <f t="shared" si="58"/>
        <v/>
      </c>
      <c r="S267" s="39" t="str">
        <f t="shared" si="59"/>
        <v/>
      </c>
      <c r="V267" s="12" t="str">
        <f t="shared" si="47"/>
        <v/>
      </c>
      <c r="W267" s="22" t="str">
        <f t="shared" si="60"/>
        <v/>
      </c>
    </row>
    <row r="268" spans="1:23" x14ac:dyDescent="0.25">
      <c r="A268" s="67">
        <v>253</v>
      </c>
      <c r="B268" s="48"/>
      <c r="C268" s="48"/>
      <c r="D268" s="48"/>
      <c r="E268" s="67">
        <v>1</v>
      </c>
      <c r="F268" s="67">
        <v>102310</v>
      </c>
      <c r="G268" s="12">
        <f t="shared" si="33"/>
        <v>0.43275462962962963</v>
      </c>
      <c r="H268" s="12">
        <f t="shared" si="48"/>
        <v>1.6087962962962887E-3</v>
      </c>
      <c r="I268" s="12" t="str">
        <f t="shared" si="49"/>
        <v/>
      </c>
      <c r="J268" s="12" t="str">
        <f t="shared" si="50"/>
        <v/>
      </c>
      <c r="K268" s="12" t="str">
        <f t="shared" si="51"/>
        <v/>
      </c>
      <c r="L268" s="12" t="str">
        <f t="shared" si="52"/>
        <v/>
      </c>
      <c r="M268" s="12" t="str">
        <f t="shared" si="53"/>
        <v/>
      </c>
      <c r="N268" s="12" t="str">
        <f t="shared" si="54"/>
        <v/>
      </c>
      <c r="O268" s="12" t="str">
        <f t="shared" si="55"/>
        <v/>
      </c>
      <c r="P268" s="12" t="str">
        <f t="shared" si="56"/>
        <v/>
      </c>
      <c r="Q268" s="12">
        <f t="shared" si="57"/>
        <v>1.6087962962962887E-3</v>
      </c>
      <c r="R268" s="39">
        <f t="shared" si="58"/>
        <v>2.3166666666666664</v>
      </c>
      <c r="S268" s="39">
        <f t="shared" si="59"/>
        <v>2.3166666666666664</v>
      </c>
      <c r="V268" s="12">
        <f t="shared" si="47"/>
        <v>1.6087962962962887E-3</v>
      </c>
      <c r="W268" s="22" t="str">
        <f t="shared" si="60"/>
        <v/>
      </c>
    </row>
    <row r="269" spans="1:23" x14ac:dyDescent="0.25">
      <c r="A269" s="67">
        <v>254</v>
      </c>
      <c r="B269" s="48"/>
      <c r="C269" s="48"/>
      <c r="D269" s="48"/>
      <c r="E269" s="67">
        <v>3</v>
      </c>
      <c r="F269" s="67">
        <v>102421</v>
      </c>
      <c r="G269" s="12">
        <f t="shared" si="33"/>
        <v>0.43357638888888889</v>
      </c>
      <c r="H269" s="12" t="str">
        <f t="shared" si="48"/>
        <v/>
      </c>
      <c r="I269" s="12" t="str">
        <f t="shared" si="49"/>
        <v/>
      </c>
      <c r="J269" s="12">
        <f t="shared" si="50"/>
        <v>8.2175925925925819E-4</v>
      </c>
      <c r="K269" s="12" t="str">
        <f t="shared" si="51"/>
        <v/>
      </c>
      <c r="L269" s="12" t="str">
        <f t="shared" si="52"/>
        <v/>
      </c>
      <c r="M269" s="12" t="str">
        <f t="shared" si="53"/>
        <v/>
      </c>
      <c r="N269" s="12" t="str">
        <f t="shared" si="54"/>
        <v/>
      </c>
      <c r="O269" s="12" t="str">
        <f t="shared" si="55"/>
        <v/>
      </c>
      <c r="P269" s="12" t="str">
        <f t="shared" si="56"/>
        <v/>
      </c>
      <c r="Q269" s="12">
        <f t="shared" si="57"/>
        <v>8.2175925925925819E-4</v>
      </c>
      <c r="R269" s="39" t="str">
        <f t="shared" si="58"/>
        <v/>
      </c>
      <c r="S269" s="39" t="str">
        <f t="shared" si="59"/>
        <v/>
      </c>
      <c r="V269" s="12" t="str">
        <f t="shared" si="47"/>
        <v/>
      </c>
      <c r="W269" s="22" t="str">
        <f t="shared" si="60"/>
        <v/>
      </c>
    </row>
    <row r="270" spans="1:23" x14ac:dyDescent="0.25">
      <c r="A270" s="67">
        <v>255</v>
      </c>
      <c r="B270" s="48">
        <v>5</v>
      </c>
      <c r="C270" s="48"/>
      <c r="D270" s="48">
        <v>12</v>
      </c>
      <c r="E270" s="67">
        <v>7</v>
      </c>
      <c r="F270" s="67">
        <v>102444</v>
      </c>
      <c r="G270" s="12">
        <f t="shared" si="33"/>
        <v>0.43384259259259261</v>
      </c>
      <c r="H270" s="12" t="str">
        <f t="shared" si="48"/>
        <v/>
      </c>
      <c r="I270" s="12" t="str">
        <f t="shared" si="49"/>
        <v/>
      </c>
      <c r="J270" s="12" t="str">
        <f t="shared" si="50"/>
        <v/>
      </c>
      <c r="K270" s="12" t="str">
        <f t="shared" si="51"/>
        <v/>
      </c>
      <c r="L270" s="12" t="str">
        <f t="shared" si="52"/>
        <v/>
      </c>
      <c r="M270" s="12" t="str">
        <f t="shared" si="53"/>
        <v/>
      </c>
      <c r="N270" s="12">
        <f t="shared" si="54"/>
        <v>2.6620370370372681E-4</v>
      </c>
      <c r="O270" s="12" t="str">
        <f t="shared" si="55"/>
        <v/>
      </c>
      <c r="P270" s="12" t="str">
        <f t="shared" si="56"/>
        <v/>
      </c>
      <c r="Q270" s="12">
        <f t="shared" si="57"/>
        <v>2.6620370370372681E-4</v>
      </c>
      <c r="R270" s="39" t="str">
        <f t="shared" si="58"/>
        <v/>
      </c>
      <c r="S270" s="39" t="str">
        <f t="shared" si="59"/>
        <v/>
      </c>
      <c r="V270" s="12" t="str">
        <f t="shared" si="47"/>
        <v/>
      </c>
      <c r="W270" s="22" t="str">
        <f t="shared" si="60"/>
        <v/>
      </c>
    </row>
    <row r="271" spans="1:23" x14ac:dyDescent="0.25">
      <c r="A271" s="67">
        <v>256</v>
      </c>
      <c r="B271" s="48">
        <v>69420</v>
      </c>
      <c r="C271" s="48"/>
      <c r="D271" s="48">
        <v>7</v>
      </c>
      <c r="E271" s="67">
        <v>1</v>
      </c>
      <c r="F271" s="67">
        <v>102618</v>
      </c>
      <c r="G271" s="12">
        <f t="shared" si="33"/>
        <v>0.43493055555555554</v>
      </c>
      <c r="H271" s="12">
        <f t="shared" si="48"/>
        <v>1.0879629629629295E-3</v>
      </c>
      <c r="I271" s="12" t="str">
        <f t="shared" si="49"/>
        <v/>
      </c>
      <c r="J271" s="12" t="str">
        <f t="shared" si="50"/>
        <v/>
      </c>
      <c r="K271" s="12" t="str">
        <f t="shared" si="51"/>
        <v/>
      </c>
      <c r="L271" s="12" t="str">
        <f t="shared" si="52"/>
        <v/>
      </c>
      <c r="M271" s="12" t="str">
        <f t="shared" si="53"/>
        <v/>
      </c>
      <c r="N271" s="12" t="str">
        <f t="shared" si="54"/>
        <v/>
      </c>
      <c r="O271" s="12" t="str">
        <f t="shared" si="55"/>
        <v/>
      </c>
      <c r="P271" s="12" t="str">
        <f t="shared" si="56"/>
        <v/>
      </c>
      <c r="Q271" s="12">
        <f t="shared" si="57"/>
        <v>1.0879629629629295E-3</v>
      </c>
      <c r="R271" s="39">
        <f t="shared" si="58"/>
        <v>1.5666666666666667</v>
      </c>
      <c r="S271" s="39">
        <f t="shared" si="59"/>
        <v>1.5666666666666667</v>
      </c>
      <c r="V271" s="12">
        <f t="shared" si="47"/>
        <v>1.0879629629629295E-3</v>
      </c>
      <c r="W271" s="22" t="str">
        <f t="shared" si="60"/>
        <v/>
      </c>
    </row>
    <row r="272" spans="1:23" x14ac:dyDescent="0.25">
      <c r="A272" s="67">
        <v>257</v>
      </c>
      <c r="B272" s="48"/>
      <c r="C272" s="48"/>
      <c r="D272" s="48"/>
      <c r="E272" s="67"/>
      <c r="F272" s="67"/>
      <c r="G272" s="12" t="str">
        <f t="shared" si="33"/>
        <v/>
      </c>
      <c r="H272" s="12" t="str">
        <f t="shared" si="48"/>
        <v/>
      </c>
      <c r="I272" s="12" t="str">
        <f t="shared" si="49"/>
        <v/>
      </c>
      <c r="J272" s="12" t="str">
        <f t="shared" si="50"/>
        <v/>
      </c>
      <c r="K272" s="12" t="str">
        <f t="shared" si="51"/>
        <v/>
      </c>
      <c r="L272" s="12" t="str">
        <f t="shared" si="52"/>
        <v/>
      </c>
      <c r="M272" s="12" t="str">
        <f t="shared" si="53"/>
        <v/>
      </c>
      <c r="N272" s="12" t="str">
        <f t="shared" si="54"/>
        <v/>
      </c>
      <c r="O272" s="12" t="str">
        <f t="shared" si="55"/>
        <v/>
      </c>
      <c r="P272" s="12" t="str">
        <f t="shared" si="56"/>
        <v/>
      </c>
      <c r="Q272" s="12" t="e">
        <f t="shared" si="57"/>
        <v>#VALUE!</v>
      </c>
      <c r="R272" s="39" t="str">
        <f t="shared" si="58"/>
        <v/>
      </c>
      <c r="S272" s="39" t="str">
        <f t="shared" si="59"/>
        <v/>
      </c>
      <c r="V272" s="12" t="str">
        <f t="shared" si="47"/>
        <v/>
      </c>
      <c r="W272" s="22" t="str">
        <f t="shared" si="60"/>
        <v/>
      </c>
    </row>
    <row r="273" spans="1:23" x14ac:dyDescent="0.25">
      <c r="A273" s="67">
        <v>258</v>
      </c>
      <c r="B273" s="48"/>
      <c r="C273" s="48"/>
      <c r="D273" s="48"/>
      <c r="E273" s="67"/>
      <c r="F273" s="67"/>
      <c r="G273" s="12" t="str">
        <f t="shared" si="33"/>
        <v/>
      </c>
      <c r="H273" s="12" t="str">
        <f t="shared" si="48"/>
        <v/>
      </c>
      <c r="I273" s="12" t="str">
        <f t="shared" si="49"/>
        <v/>
      </c>
      <c r="J273" s="12" t="str">
        <f t="shared" si="50"/>
        <v/>
      </c>
      <c r="K273" s="12" t="str">
        <f t="shared" si="51"/>
        <v/>
      </c>
      <c r="L273" s="12" t="str">
        <f t="shared" si="52"/>
        <v/>
      </c>
      <c r="M273" s="12" t="str">
        <f t="shared" si="53"/>
        <v/>
      </c>
      <c r="N273" s="12" t="str">
        <f t="shared" si="54"/>
        <v/>
      </c>
      <c r="O273" s="12" t="str">
        <f t="shared" si="55"/>
        <v/>
      </c>
      <c r="P273" s="12" t="str">
        <f t="shared" si="56"/>
        <v/>
      </c>
      <c r="Q273" s="12" t="e">
        <f t="shared" si="57"/>
        <v>#VALUE!</v>
      </c>
      <c r="R273" s="39" t="str">
        <f t="shared" si="58"/>
        <v/>
      </c>
      <c r="S273" s="39" t="str">
        <f t="shared" si="59"/>
        <v/>
      </c>
      <c r="V273" s="12" t="str">
        <f t="shared" ref="V273:V336" si="61">H273</f>
        <v/>
      </c>
      <c r="W273" s="22" t="str">
        <f t="shared" si="60"/>
        <v/>
      </c>
    </row>
    <row r="274" spans="1:23" x14ac:dyDescent="0.25">
      <c r="A274" s="67">
        <v>259</v>
      </c>
      <c r="B274" s="48"/>
      <c r="C274" s="48"/>
      <c r="D274" s="48"/>
      <c r="E274" s="67"/>
      <c r="F274" s="67"/>
      <c r="G274" s="12" t="str">
        <f t="shared" si="33"/>
        <v/>
      </c>
      <c r="H274" s="12" t="str">
        <f t="shared" ref="H274:H337" si="62">IFERROR(IF(E274=1,Q274,""),"")</f>
        <v/>
      </c>
      <c r="I274" s="12" t="str">
        <f t="shared" ref="I274:I337" si="63">IFERROR(IF(E274=2,Q274,""),"")</f>
        <v/>
      </c>
      <c r="J274" s="12" t="str">
        <f t="shared" ref="J274:J337" si="64">IFERROR(IF(E274=3,Q274,""),"")</f>
        <v/>
      </c>
      <c r="K274" s="12" t="str">
        <f t="shared" ref="K274:K337" si="65">IFERROR(IF(E274=4,Q274,""),"")</f>
        <v/>
      </c>
      <c r="L274" s="12" t="str">
        <f t="shared" ref="L274:L337" si="66">IFERROR(IF(E274=5,Q274,""),"")</f>
        <v/>
      </c>
      <c r="M274" s="12" t="str">
        <f t="shared" ref="M274:M337" si="67">IFERROR(IF(E274=6,Q274,""),"")</f>
        <v/>
      </c>
      <c r="N274" s="12" t="str">
        <f t="shared" ref="N274:N337" si="68">IFERROR(IF(E274=7,Q274,""),"")</f>
        <v/>
      </c>
      <c r="O274" s="12" t="str">
        <f t="shared" ref="O274:O337" si="69">IFERROR(IF(E274=8,Q274,""),"")</f>
        <v/>
      </c>
      <c r="P274" s="12" t="str">
        <f t="shared" ref="P274:P337" si="70">IFERROR(IF(E274=9,Q274,""),"")</f>
        <v/>
      </c>
      <c r="Q274" s="12" t="e">
        <f t="shared" si="57"/>
        <v>#VALUE!</v>
      </c>
      <c r="R274" s="39" t="str">
        <f t="shared" si="58"/>
        <v/>
      </c>
      <c r="S274" s="39" t="str">
        <f t="shared" si="59"/>
        <v/>
      </c>
      <c r="V274" s="12" t="str">
        <f t="shared" si="61"/>
        <v/>
      </c>
      <c r="W274" s="22" t="str">
        <f t="shared" si="60"/>
        <v/>
      </c>
    </row>
    <row r="275" spans="1:23" x14ac:dyDescent="0.25">
      <c r="A275" s="67">
        <v>260</v>
      </c>
      <c r="B275" s="48"/>
      <c r="C275" s="48"/>
      <c r="D275" s="48"/>
      <c r="E275" s="67"/>
      <c r="F275" s="67"/>
      <c r="G275" s="12" t="str">
        <f t="shared" si="33"/>
        <v/>
      </c>
      <c r="H275" s="12" t="str">
        <f t="shared" si="62"/>
        <v/>
      </c>
      <c r="I275" s="12" t="str">
        <f t="shared" si="63"/>
        <v/>
      </c>
      <c r="J275" s="12" t="str">
        <f t="shared" si="64"/>
        <v/>
      </c>
      <c r="K275" s="12" t="str">
        <f t="shared" si="65"/>
        <v/>
      </c>
      <c r="L275" s="12" t="str">
        <f t="shared" si="66"/>
        <v/>
      </c>
      <c r="M275" s="12" t="str">
        <f t="shared" si="67"/>
        <v/>
      </c>
      <c r="N275" s="12" t="str">
        <f t="shared" si="68"/>
        <v/>
      </c>
      <c r="O275" s="12" t="str">
        <f t="shared" si="69"/>
        <v/>
      </c>
      <c r="P275" s="12" t="str">
        <f t="shared" si="70"/>
        <v/>
      </c>
      <c r="Q275" s="12" t="e">
        <f t="shared" ref="Q275:Q276" si="71">G275-G274</f>
        <v>#VALUE!</v>
      </c>
      <c r="R275" s="39" t="str">
        <f t="shared" si="58"/>
        <v/>
      </c>
      <c r="S275" s="39" t="str">
        <f t="shared" si="59"/>
        <v/>
      </c>
      <c r="V275" s="12" t="str">
        <f t="shared" si="61"/>
        <v/>
      </c>
      <c r="W275" s="22" t="str">
        <f t="shared" si="60"/>
        <v/>
      </c>
    </row>
    <row r="276" spans="1:23" x14ac:dyDescent="0.25">
      <c r="A276" s="67">
        <v>261</v>
      </c>
      <c r="B276" s="67"/>
      <c r="C276" s="67"/>
      <c r="D276" s="67"/>
      <c r="E276" s="67"/>
      <c r="F276" s="67"/>
      <c r="G276" s="12" t="str">
        <f t="shared" si="33"/>
        <v/>
      </c>
      <c r="H276" s="12" t="str">
        <f t="shared" si="62"/>
        <v/>
      </c>
      <c r="I276" s="12" t="str">
        <f t="shared" si="63"/>
        <v/>
      </c>
      <c r="J276" s="12" t="str">
        <f t="shared" si="64"/>
        <v/>
      </c>
      <c r="K276" s="12" t="str">
        <f t="shared" si="65"/>
        <v/>
      </c>
      <c r="L276" s="12" t="str">
        <f t="shared" si="66"/>
        <v/>
      </c>
      <c r="M276" s="12" t="str">
        <f t="shared" si="67"/>
        <v/>
      </c>
      <c r="N276" s="12" t="str">
        <f t="shared" si="68"/>
        <v/>
      </c>
      <c r="O276" s="12" t="str">
        <f t="shared" si="69"/>
        <v/>
      </c>
      <c r="P276" s="12" t="str">
        <f t="shared" si="70"/>
        <v/>
      </c>
      <c r="Q276" s="12" t="e">
        <f t="shared" si="71"/>
        <v>#VALUE!</v>
      </c>
      <c r="R276" s="39" t="str">
        <f t="shared" ref="R276:R339" si="72">IF(H276="","",HOUR(H276)*60+MINUTE(H276)+SECOND(H276)/60)</f>
        <v/>
      </c>
      <c r="S276" s="39" t="str">
        <f t="shared" si="59"/>
        <v/>
      </c>
      <c r="V276" s="12" t="str">
        <f t="shared" si="61"/>
        <v/>
      </c>
      <c r="W276" s="22" t="str">
        <f t="shared" si="60"/>
        <v/>
      </c>
    </row>
    <row r="277" spans="1:23" x14ac:dyDescent="0.25">
      <c r="A277" s="67">
        <v>262</v>
      </c>
      <c r="B277" s="67"/>
      <c r="C277" s="67"/>
      <c r="D277" s="67"/>
      <c r="E277" s="67"/>
      <c r="F277" s="67"/>
      <c r="G277" s="12" t="str">
        <f t="shared" si="33"/>
        <v/>
      </c>
      <c r="H277" s="12" t="str">
        <f t="shared" si="62"/>
        <v/>
      </c>
      <c r="I277" s="12" t="str">
        <f t="shared" si="63"/>
        <v/>
      </c>
      <c r="J277" s="12" t="str">
        <f t="shared" si="64"/>
        <v/>
      </c>
      <c r="K277" s="12" t="str">
        <f t="shared" si="65"/>
        <v/>
      </c>
      <c r="L277" s="12" t="str">
        <f t="shared" si="66"/>
        <v/>
      </c>
      <c r="M277" s="12" t="str">
        <f t="shared" si="67"/>
        <v/>
      </c>
      <c r="N277" s="12" t="str">
        <f t="shared" si="68"/>
        <v/>
      </c>
      <c r="O277" s="12" t="str">
        <f t="shared" si="69"/>
        <v/>
      </c>
      <c r="P277" s="12" t="str">
        <f t="shared" si="70"/>
        <v/>
      </c>
      <c r="Q277" s="12" t="e">
        <f>G277-G276</f>
        <v>#VALUE!</v>
      </c>
      <c r="R277" s="39" t="str">
        <f t="shared" si="72"/>
        <v/>
      </c>
      <c r="S277" s="39" t="str">
        <f t="shared" si="59"/>
        <v/>
      </c>
      <c r="V277" s="12" t="str">
        <f t="shared" si="61"/>
        <v/>
      </c>
      <c r="W277" s="22" t="str">
        <f t="shared" si="60"/>
        <v/>
      </c>
    </row>
    <row r="278" spans="1:23" x14ac:dyDescent="0.25">
      <c r="A278" s="67">
        <v>263</v>
      </c>
      <c r="B278" s="67"/>
      <c r="C278" s="67"/>
      <c r="D278" s="67"/>
      <c r="E278" s="67"/>
      <c r="F278" s="67"/>
      <c r="G278" s="12" t="str">
        <f t="shared" ref="G278:G341" si="73">IF(LEN(F278)=5,TIMEVALUE(LEFT(F278,1)&amp;":"&amp;MID(F278,2,2)&amp;":"&amp;RIGHT(F278,2)),IF(LEN(F278)=6,TIMEVALUE(LEFT(F278,2)&amp;":"&amp;MID(F278,3,2)&amp;":"&amp;RIGHT(F278,2)),""))</f>
        <v/>
      </c>
      <c r="H278" s="12" t="str">
        <f t="shared" si="62"/>
        <v/>
      </c>
      <c r="I278" s="12" t="str">
        <f t="shared" si="63"/>
        <v/>
      </c>
      <c r="J278" s="12" t="str">
        <f t="shared" si="64"/>
        <v/>
      </c>
      <c r="K278" s="12" t="str">
        <f t="shared" si="65"/>
        <v/>
      </c>
      <c r="L278" s="12" t="str">
        <f t="shared" si="66"/>
        <v/>
      </c>
      <c r="M278" s="12" t="str">
        <f t="shared" si="67"/>
        <v/>
      </c>
      <c r="N278" s="12" t="str">
        <f t="shared" si="68"/>
        <v/>
      </c>
      <c r="O278" s="12" t="str">
        <f t="shared" si="69"/>
        <v/>
      </c>
      <c r="P278" s="12" t="str">
        <f t="shared" si="70"/>
        <v/>
      </c>
      <c r="Q278" s="12" t="e">
        <f>G278-G277</f>
        <v>#VALUE!</v>
      </c>
      <c r="R278" s="39" t="str">
        <f t="shared" si="72"/>
        <v/>
      </c>
      <c r="S278" s="39" t="str">
        <f t="shared" si="59"/>
        <v/>
      </c>
      <c r="V278" s="12" t="str">
        <f t="shared" si="61"/>
        <v/>
      </c>
      <c r="W278" s="22" t="str">
        <f t="shared" si="60"/>
        <v/>
      </c>
    </row>
    <row r="279" spans="1:23" x14ac:dyDescent="0.25">
      <c r="A279" s="67">
        <v>264</v>
      </c>
      <c r="B279" s="67"/>
      <c r="C279" s="67"/>
      <c r="D279" s="67"/>
      <c r="E279" s="67"/>
      <c r="F279" s="67"/>
      <c r="G279" s="12" t="str">
        <f t="shared" si="73"/>
        <v/>
      </c>
      <c r="H279" s="12" t="str">
        <f t="shared" si="62"/>
        <v/>
      </c>
      <c r="I279" s="12" t="str">
        <f t="shared" si="63"/>
        <v/>
      </c>
      <c r="J279" s="12" t="str">
        <f t="shared" si="64"/>
        <v/>
      </c>
      <c r="K279" s="12" t="str">
        <f t="shared" si="65"/>
        <v/>
      </c>
      <c r="L279" s="12" t="str">
        <f t="shared" si="66"/>
        <v/>
      </c>
      <c r="M279" s="12" t="str">
        <f t="shared" si="67"/>
        <v/>
      </c>
      <c r="N279" s="12" t="str">
        <f t="shared" si="68"/>
        <v/>
      </c>
      <c r="O279" s="12" t="str">
        <f t="shared" si="69"/>
        <v/>
      </c>
      <c r="P279" s="12" t="str">
        <f t="shared" si="70"/>
        <v/>
      </c>
      <c r="Q279" s="12" t="e">
        <f t="shared" ref="Q279:Q287" si="74">G279-G278</f>
        <v>#VALUE!</v>
      </c>
      <c r="R279" s="39" t="str">
        <f t="shared" si="72"/>
        <v/>
      </c>
      <c r="S279" s="39" t="str">
        <f t="shared" si="59"/>
        <v/>
      </c>
      <c r="V279" s="12" t="str">
        <f t="shared" si="61"/>
        <v/>
      </c>
      <c r="W279" s="22" t="str">
        <f t="shared" si="60"/>
        <v/>
      </c>
    </row>
    <row r="280" spans="1:23" x14ac:dyDescent="0.25">
      <c r="A280" s="67">
        <v>265</v>
      </c>
      <c r="B280" s="67"/>
      <c r="C280" s="67"/>
      <c r="D280" s="67"/>
      <c r="E280" s="67"/>
      <c r="F280" s="67"/>
      <c r="G280" s="12" t="str">
        <f t="shared" si="73"/>
        <v/>
      </c>
      <c r="H280" s="12" t="str">
        <f t="shared" si="62"/>
        <v/>
      </c>
      <c r="I280" s="12" t="str">
        <f t="shared" si="63"/>
        <v/>
      </c>
      <c r="J280" s="12" t="str">
        <f t="shared" si="64"/>
        <v/>
      </c>
      <c r="K280" s="12" t="str">
        <f t="shared" si="65"/>
        <v/>
      </c>
      <c r="L280" s="12" t="str">
        <f t="shared" si="66"/>
        <v/>
      </c>
      <c r="M280" s="12" t="str">
        <f t="shared" si="67"/>
        <v/>
      </c>
      <c r="N280" s="12" t="str">
        <f t="shared" si="68"/>
        <v/>
      </c>
      <c r="O280" s="12" t="str">
        <f t="shared" si="69"/>
        <v/>
      </c>
      <c r="P280" s="12" t="str">
        <f t="shared" si="70"/>
        <v/>
      </c>
      <c r="Q280" s="12" t="e">
        <f t="shared" si="74"/>
        <v>#VALUE!</v>
      </c>
      <c r="R280" s="39" t="str">
        <f t="shared" si="72"/>
        <v/>
      </c>
      <c r="S280" s="39" t="str">
        <f t="shared" si="59"/>
        <v/>
      </c>
      <c r="V280" s="12" t="str">
        <f t="shared" si="61"/>
        <v/>
      </c>
      <c r="W280" s="22" t="str">
        <f t="shared" si="60"/>
        <v/>
      </c>
    </row>
    <row r="281" spans="1:23" x14ac:dyDescent="0.25">
      <c r="A281" s="67">
        <v>266</v>
      </c>
      <c r="B281" s="67"/>
      <c r="C281" s="67"/>
      <c r="D281" s="67"/>
      <c r="E281" s="67"/>
      <c r="F281" s="67"/>
      <c r="G281" s="12" t="str">
        <f t="shared" si="73"/>
        <v/>
      </c>
      <c r="H281" s="12" t="str">
        <f t="shared" si="62"/>
        <v/>
      </c>
      <c r="I281" s="12" t="str">
        <f t="shared" si="63"/>
        <v/>
      </c>
      <c r="J281" s="12" t="str">
        <f t="shared" si="64"/>
        <v/>
      </c>
      <c r="K281" s="12" t="str">
        <f t="shared" si="65"/>
        <v/>
      </c>
      <c r="L281" s="12" t="str">
        <f t="shared" si="66"/>
        <v/>
      </c>
      <c r="M281" s="12" t="str">
        <f t="shared" si="67"/>
        <v/>
      </c>
      <c r="N281" s="12" t="str">
        <f t="shared" si="68"/>
        <v/>
      </c>
      <c r="O281" s="12" t="str">
        <f t="shared" si="69"/>
        <v/>
      </c>
      <c r="P281" s="12" t="str">
        <f t="shared" si="70"/>
        <v/>
      </c>
      <c r="Q281" s="12" t="e">
        <f>G281-G280</f>
        <v>#VALUE!</v>
      </c>
      <c r="R281" s="39" t="str">
        <f t="shared" si="72"/>
        <v/>
      </c>
      <c r="S281" s="39" t="str">
        <f t="shared" si="59"/>
        <v/>
      </c>
      <c r="V281" s="12" t="str">
        <f t="shared" si="61"/>
        <v/>
      </c>
      <c r="W281" s="22" t="str">
        <f t="shared" si="60"/>
        <v/>
      </c>
    </row>
    <row r="282" spans="1:23" x14ac:dyDescent="0.25">
      <c r="A282" s="67">
        <v>267</v>
      </c>
      <c r="B282" s="67"/>
      <c r="C282" s="67"/>
      <c r="D282" s="67"/>
      <c r="E282" s="67"/>
      <c r="F282" s="67"/>
      <c r="G282" s="12" t="str">
        <f t="shared" si="73"/>
        <v/>
      </c>
      <c r="H282" s="12" t="str">
        <f t="shared" si="62"/>
        <v/>
      </c>
      <c r="I282" s="12" t="str">
        <f t="shared" si="63"/>
        <v/>
      </c>
      <c r="J282" s="12" t="str">
        <f t="shared" si="64"/>
        <v/>
      </c>
      <c r="K282" s="12" t="str">
        <f t="shared" si="65"/>
        <v/>
      </c>
      <c r="L282" s="12" t="str">
        <f t="shared" si="66"/>
        <v/>
      </c>
      <c r="M282" s="12" t="str">
        <f t="shared" si="67"/>
        <v/>
      </c>
      <c r="N282" s="12" t="str">
        <f t="shared" si="68"/>
        <v/>
      </c>
      <c r="O282" s="12" t="str">
        <f t="shared" si="69"/>
        <v/>
      </c>
      <c r="P282" s="12" t="str">
        <f t="shared" si="70"/>
        <v/>
      </c>
      <c r="Q282" s="12" t="e">
        <f t="shared" si="74"/>
        <v>#VALUE!</v>
      </c>
      <c r="R282" s="39" t="str">
        <f t="shared" si="72"/>
        <v/>
      </c>
      <c r="S282" s="39" t="str">
        <f t="shared" si="59"/>
        <v/>
      </c>
      <c r="V282" s="12" t="str">
        <f t="shared" si="61"/>
        <v/>
      </c>
      <c r="W282" s="22" t="str">
        <f t="shared" si="60"/>
        <v/>
      </c>
    </row>
    <row r="283" spans="1:23" x14ac:dyDescent="0.25">
      <c r="A283" s="67">
        <v>268</v>
      </c>
      <c r="B283" s="67"/>
      <c r="C283" s="67"/>
      <c r="D283" s="67"/>
      <c r="E283" s="67"/>
      <c r="F283" s="67"/>
      <c r="G283" s="12" t="str">
        <f t="shared" si="73"/>
        <v/>
      </c>
      <c r="H283" s="12" t="str">
        <f t="shared" si="62"/>
        <v/>
      </c>
      <c r="I283" s="12" t="str">
        <f t="shared" si="63"/>
        <v/>
      </c>
      <c r="J283" s="12" t="str">
        <f t="shared" si="64"/>
        <v/>
      </c>
      <c r="K283" s="12" t="str">
        <f t="shared" si="65"/>
        <v/>
      </c>
      <c r="L283" s="12" t="str">
        <f t="shared" si="66"/>
        <v/>
      </c>
      <c r="M283" s="12" t="str">
        <f t="shared" si="67"/>
        <v/>
      </c>
      <c r="N283" s="12" t="str">
        <f t="shared" si="68"/>
        <v/>
      </c>
      <c r="O283" s="12" t="str">
        <f t="shared" si="69"/>
        <v/>
      </c>
      <c r="P283" s="12" t="str">
        <f t="shared" si="70"/>
        <v/>
      </c>
      <c r="Q283" s="12" t="e">
        <f t="shared" si="74"/>
        <v>#VALUE!</v>
      </c>
      <c r="R283" s="39" t="str">
        <f t="shared" si="72"/>
        <v/>
      </c>
      <c r="S283" s="39" t="str">
        <f t="shared" si="59"/>
        <v/>
      </c>
      <c r="V283" s="12" t="str">
        <f t="shared" si="61"/>
        <v/>
      </c>
      <c r="W283" s="22" t="str">
        <f t="shared" si="60"/>
        <v/>
      </c>
    </row>
    <row r="284" spans="1:23" x14ac:dyDescent="0.25">
      <c r="A284" s="67">
        <v>269</v>
      </c>
      <c r="B284" s="67"/>
      <c r="C284" s="67"/>
      <c r="D284" s="67"/>
      <c r="E284" s="67"/>
      <c r="F284" s="67"/>
      <c r="G284" s="12" t="str">
        <f t="shared" si="73"/>
        <v/>
      </c>
      <c r="H284" s="12" t="str">
        <f t="shared" si="62"/>
        <v/>
      </c>
      <c r="I284" s="12" t="str">
        <f t="shared" si="63"/>
        <v/>
      </c>
      <c r="J284" s="12" t="str">
        <f t="shared" si="64"/>
        <v/>
      </c>
      <c r="K284" s="12" t="str">
        <f t="shared" si="65"/>
        <v/>
      </c>
      <c r="L284" s="12" t="str">
        <f t="shared" si="66"/>
        <v/>
      </c>
      <c r="M284" s="12" t="str">
        <f t="shared" si="67"/>
        <v/>
      </c>
      <c r="N284" s="12" t="str">
        <f t="shared" si="68"/>
        <v/>
      </c>
      <c r="O284" s="12" t="str">
        <f t="shared" si="69"/>
        <v/>
      </c>
      <c r="P284" s="12" t="str">
        <f t="shared" si="70"/>
        <v/>
      </c>
      <c r="Q284" s="12" t="e">
        <f t="shared" si="74"/>
        <v>#VALUE!</v>
      </c>
      <c r="R284" s="39" t="str">
        <f t="shared" si="72"/>
        <v/>
      </c>
      <c r="S284" s="39" t="str">
        <f t="shared" si="59"/>
        <v/>
      </c>
      <c r="V284" s="12" t="str">
        <f t="shared" si="61"/>
        <v/>
      </c>
      <c r="W284" s="22" t="str">
        <f t="shared" si="60"/>
        <v/>
      </c>
    </row>
    <row r="285" spans="1:23" x14ac:dyDescent="0.25">
      <c r="A285" s="67">
        <v>270</v>
      </c>
      <c r="B285" s="67"/>
      <c r="C285" s="67"/>
      <c r="D285" s="67"/>
      <c r="E285" s="67"/>
      <c r="F285" s="67"/>
      <c r="G285" s="12" t="str">
        <f t="shared" si="73"/>
        <v/>
      </c>
      <c r="H285" s="12" t="str">
        <f t="shared" si="62"/>
        <v/>
      </c>
      <c r="I285" s="12" t="str">
        <f t="shared" si="63"/>
        <v/>
      </c>
      <c r="J285" s="12" t="str">
        <f t="shared" si="64"/>
        <v/>
      </c>
      <c r="K285" s="12" t="str">
        <f t="shared" si="65"/>
        <v/>
      </c>
      <c r="L285" s="12" t="str">
        <f t="shared" si="66"/>
        <v/>
      </c>
      <c r="M285" s="12" t="str">
        <f t="shared" si="67"/>
        <v/>
      </c>
      <c r="N285" s="12" t="str">
        <f t="shared" si="68"/>
        <v/>
      </c>
      <c r="O285" s="12" t="str">
        <f t="shared" si="69"/>
        <v/>
      </c>
      <c r="P285" s="12" t="str">
        <f t="shared" si="70"/>
        <v/>
      </c>
      <c r="Q285" s="12" t="e">
        <f t="shared" si="74"/>
        <v>#VALUE!</v>
      </c>
      <c r="R285" s="39" t="str">
        <f t="shared" si="72"/>
        <v/>
      </c>
      <c r="S285" s="39" t="str">
        <f t="shared" si="59"/>
        <v/>
      </c>
      <c r="V285" s="12" t="str">
        <f t="shared" si="61"/>
        <v/>
      </c>
      <c r="W285" s="22" t="str">
        <f t="shared" si="60"/>
        <v/>
      </c>
    </row>
    <row r="286" spans="1:23" x14ac:dyDescent="0.25">
      <c r="B286" s="67"/>
      <c r="C286" s="67"/>
      <c r="D286" s="67"/>
      <c r="E286" s="67"/>
      <c r="F286" s="67"/>
      <c r="G286" s="12" t="str">
        <f t="shared" si="73"/>
        <v/>
      </c>
      <c r="H286" s="12" t="str">
        <f t="shared" si="62"/>
        <v/>
      </c>
      <c r="I286" s="12" t="str">
        <f t="shared" si="63"/>
        <v/>
      </c>
      <c r="J286" s="12" t="str">
        <f t="shared" si="64"/>
        <v/>
      </c>
      <c r="K286" s="12" t="str">
        <f t="shared" si="65"/>
        <v/>
      </c>
      <c r="L286" s="12" t="str">
        <f t="shared" si="66"/>
        <v/>
      </c>
      <c r="M286" s="12" t="str">
        <f t="shared" si="67"/>
        <v/>
      </c>
      <c r="N286" s="12" t="str">
        <f t="shared" si="68"/>
        <v/>
      </c>
      <c r="O286" s="12" t="str">
        <f t="shared" si="69"/>
        <v/>
      </c>
      <c r="P286" s="12" t="str">
        <f t="shared" si="70"/>
        <v/>
      </c>
      <c r="Q286" s="12" t="e">
        <f t="shared" si="74"/>
        <v>#VALUE!</v>
      </c>
      <c r="R286" s="39" t="str">
        <f t="shared" si="72"/>
        <v/>
      </c>
      <c r="S286" s="39" t="str">
        <f t="shared" si="59"/>
        <v/>
      </c>
      <c r="V286" s="12" t="str">
        <f t="shared" si="61"/>
        <v/>
      </c>
      <c r="W286" s="22" t="str">
        <f t="shared" si="60"/>
        <v/>
      </c>
    </row>
    <row r="287" spans="1:23" x14ac:dyDescent="0.25">
      <c r="B287" s="67"/>
      <c r="C287" s="67"/>
      <c r="D287" s="67"/>
      <c r="E287" s="67"/>
      <c r="F287" s="67"/>
      <c r="G287" s="12" t="str">
        <f t="shared" si="73"/>
        <v/>
      </c>
      <c r="H287" s="12" t="str">
        <f t="shared" si="62"/>
        <v/>
      </c>
      <c r="I287" s="12" t="str">
        <f t="shared" si="63"/>
        <v/>
      </c>
      <c r="J287" s="12" t="str">
        <f t="shared" si="64"/>
        <v/>
      </c>
      <c r="K287" s="12" t="str">
        <f t="shared" si="65"/>
        <v/>
      </c>
      <c r="L287" s="12" t="str">
        <f t="shared" si="66"/>
        <v/>
      </c>
      <c r="M287" s="12" t="str">
        <f t="shared" si="67"/>
        <v/>
      </c>
      <c r="N287" s="12" t="str">
        <f t="shared" si="68"/>
        <v/>
      </c>
      <c r="O287" s="12" t="str">
        <f t="shared" si="69"/>
        <v/>
      </c>
      <c r="P287" s="12" t="str">
        <f t="shared" si="70"/>
        <v/>
      </c>
      <c r="Q287" s="12" t="e">
        <f t="shared" si="74"/>
        <v>#VALUE!</v>
      </c>
      <c r="R287" s="39" t="str">
        <f t="shared" si="72"/>
        <v/>
      </c>
      <c r="S287" s="39" t="str">
        <f t="shared" si="59"/>
        <v/>
      </c>
      <c r="V287" s="12" t="str">
        <f t="shared" si="61"/>
        <v/>
      </c>
      <c r="W287" s="22" t="str">
        <f t="shared" si="60"/>
        <v/>
      </c>
    </row>
    <row r="288" spans="1:23" x14ac:dyDescent="0.25">
      <c r="B288" s="67"/>
      <c r="C288" s="67"/>
      <c r="D288" s="67"/>
      <c r="E288" s="67"/>
      <c r="F288" s="67"/>
      <c r="G288" s="12" t="str">
        <f t="shared" si="73"/>
        <v/>
      </c>
      <c r="H288" s="12" t="str">
        <f t="shared" si="62"/>
        <v/>
      </c>
      <c r="I288" s="12" t="str">
        <f t="shared" si="63"/>
        <v/>
      </c>
      <c r="J288" s="12" t="str">
        <f t="shared" si="64"/>
        <v/>
      </c>
      <c r="K288" s="12" t="str">
        <f t="shared" si="65"/>
        <v/>
      </c>
      <c r="L288" s="12" t="str">
        <f t="shared" si="66"/>
        <v/>
      </c>
      <c r="M288" s="12" t="str">
        <f t="shared" si="67"/>
        <v/>
      </c>
      <c r="N288" s="12" t="str">
        <f t="shared" si="68"/>
        <v/>
      </c>
      <c r="O288" s="12" t="str">
        <f t="shared" si="69"/>
        <v/>
      </c>
      <c r="P288" s="12" t="str">
        <f t="shared" si="70"/>
        <v/>
      </c>
      <c r="Q288" s="12" t="e">
        <f>G288-G287</f>
        <v>#VALUE!</v>
      </c>
      <c r="R288" s="39" t="str">
        <f t="shared" si="72"/>
        <v/>
      </c>
      <c r="S288" s="39" t="str">
        <f t="shared" si="59"/>
        <v/>
      </c>
      <c r="V288" s="12" t="str">
        <f t="shared" si="61"/>
        <v/>
      </c>
      <c r="W288" s="22" t="str">
        <f t="shared" si="60"/>
        <v/>
      </c>
    </row>
    <row r="289" spans="7:23" x14ac:dyDescent="0.25">
      <c r="G289" s="12" t="str">
        <f t="shared" si="73"/>
        <v/>
      </c>
      <c r="H289" s="12" t="str">
        <f t="shared" si="62"/>
        <v/>
      </c>
      <c r="I289" s="12" t="str">
        <f t="shared" si="63"/>
        <v/>
      </c>
      <c r="J289" s="12" t="str">
        <f t="shared" si="64"/>
        <v/>
      </c>
      <c r="K289" s="12" t="str">
        <f t="shared" si="65"/>
        <v/>
      </c>
      <c r="L289" s="12" t="str">
        <f t="shared" si="66"/>
        <v/>
      </c>
      <c r="M289" s="12" t="str">
        <f t="shared" si="67"/>
        <v/>
      </c>
      <c r="N289" s="12" t="str">
        <f t="shared" si="68"/>
        <v/>
      </c>
      <c r="O289" s="12" t="str">
        <f t="shared" si="69"/>
        <v/>
      </c>
      <c r="P289" s="12" t="str">
        <f t="shared" si="70"/>
        <v/>
      </c>
      <c r="Q289" s="12" t="e">
        <f t="shared" ref="Q289:Q352" si="75">G289-G288</f>
        <v>#VALUE!</v>
      </c>
      <c r="R289" s="39" t="str">
        <f t="shared" si="72"/>
        <v/>
      </c>
      <c r="S289" s="39" t="str">
        <f t="shared" ref="S289:S352" si="76">R289</f>
        <v/>
      </c>
      <c r="V289" s="12" t="str">
        <f t="shared" si="61"/>
        <v/>
      </c>
      <c r="W289" s="22" t="str">
        <f t="shared" si="60"/>
        <v/>
      </c>
    </row>
    <row r="290" spans="7:23" x14ac:dyDescent="0.25">
      <c r="G290" s="12" t="str">
        <f t="shared" si="73"/>
        <v/>
      </c>
      <c r="H290" s="12" t="str">
        <f t="shared" si="62"/>
        <v/>
      </c>
      <c r="I290" s="12" t="str">
        <f t="shared" si="63"/>
        <v/>
      </c>
      <c r="J290" s="12" t="str">
        <f t="shared" si="64"/>
        <v/>
      </c>
      <c r="K290" s="12" t="str">
        <f t="shared" si="65"/>
        <v/>
      </c>
      <c r="L290" s="12" t="str">
        <f t="shared" si="66"/>
        <v/>
      </c>
      <c r="M290" s="12" t="str">
        <f t="shared" si="67"/>
        <v/>
      </c>
      <c r="N290" s="12" t="str">
        <f t="shared" si="68"/>
        <v/>
      </c>
      <c r="O290" s="12" t="str">
        <f t="shared" si="69"/>
        <v/>
      </c>
      <c r="P290" s="12" t="str">
        <f t="shared" si="70"/>
        <v/>
      </c>
      <c r="Q290" s="12" t="e">
        <f t="shared" si="75"/>
        <v>#VALUE!</v>
      </c>
      <c r="R290" s="39" t="str">
        <f t="shared" si="72"/>
        <v/>
      </c>
      <c r="S290" s="39" t="str">
        <f t="shared" si="76"/>
        <v/>
      </c>
      <c r="V290" s="12" t="str">
        <f t="shared" si="61"/>
        <v/>
      </c>
      <c r="W290" s="22" t="str">
        <f t="shared" si="60"/>
        <v/>
      </c>
    </row>
    <row r="291" spans="7:23" x14ac:dyDescent="0.25">
      <c r="G291" s="12" t="str">
        <f t="shared" si="73"/>
        <v/>
      </c>
      <c r="H291" s="12" t="str">
        <f t="shared" si="62"/>
        <v/>
      </c>
      <c r="I291" s="12" t="str">
        <f t="shared" si="63"/>
        <v/>
      </c>
      <c r="J291" s="12" t="str">
        <f t="shared" si="64"/>
        <v/>
      </c>
      <c r="K291" s="12" t="str">
        <f t="shared" si="65"/>
        <v/>
      </c>
      <c r="L291" s="12" t="str">
        <f t="shared" si="66"/>
        <v/>
      </c>
      <c r="M291" s="12" t="str">
        <f t="shared" si="67"/>
        <v/>
      </c>
      <c r="N291" s="12" t="str">
        <f t="shared" si="68"/>
        <v/>
      </c>
      <c r="O291" s="12" t="str">
        <f t="shared" si="69"/>
        <v/>
      </c>
      <c r="P291" s="12" t="str">
        <f t="shared" si="70"/>
        <v/>
      </c>
      <c r="Q291" s="12" t="e">
        <f t="shared" si="75"/>
        <v>#VALUE!</v>
      </c>
      <c r="R291" s="39" t="str">
        <f t="shared" si="72"/>
        <v/>
      </c>
      <c r="S291" s="39" t="str">
        <f t="shared" si="76"/>
        <v/>
      </c>
      <c r="V291" s="12" t="str">
        <f t="shared" si="61"/>
        <v/>
      </c>
      <c r="W291" s="22" t="str">
        <f t="shared" si="60"/>
        <v/>
      </c>
    </row>
    <row r="292" spans="7:23" x14ac:dyDescent="0.25">
      <c r="G292" s="12" t="str">
        <f t="shared" si="73"/>
        <v/>
      </c>
      <c r="H292" s="12" t="str">
        <f t="shared" si="62"/>
        <v/>
      </c>
      <c r="I292" s="12" t="str">
        <f t="shared" si="63"/>
        <v/>
      </c>
      <c r="J292" s="12" t="str">
        <f t="shared" si="64"/>
        <v/>
      </c>
      <c r="K292" s="12" t="str">
        <f t="shared" si="65"/>
        <v/>
      </c>
      <c r="L292" s="12" t="str">
        <f t="shared" si="66"/>
        <v/>
      </c>
      <c r="M292" s="12" t="str">
        <f t="shared" si="67"/>
        <v/>
      </c>
      <c r="N292" s="12" t="str">
        <f t="shared" si="68"/>
        <v/>
      </c>
      <c r="O292" s="12" t="str">
        <f t="shared" si="69"/>
        <v/>
      </c>
      <c r="P292" s="12" t="str">
        <f t="shared" si="70"/>
        <v/>
      </c>
      <c r="Q292" s="12" t="e">
        <f t="shared" si="75"/>
        <v>#VALUE!</v>
      </c>
      <c r="R292" s="39" t="str">
        <f t="shared" si="72"/>
        <v/>
      </c>
      <c r="S292" s="39" t="str">
        <f t="shared" si="76"/>
        <v/>
      </c>
      <c r="V292" s="12" t="str">
        <f t="shared" si="61"/>
        <v/>
      </c>
      <c r="W292" s="22" t="str">
        <f t="shared" si="60"/>
        <v/>
      </c>
    </row>
    <row r="293" spans="7:23" x14ac:dyDescent="0.25">
      <c r="G293" s="12" t="str">
        <f t="shared" si="73"/>
        <v/>
      </c>
      <c r="H293" s="12" t="str">
        <f t="shared" si="62"/>
        <v/>
      </c>
      <c r="I293" s="12" t="str">
        <f t="shared" si="63"/>
        <v/>
      </c>
      <c r="J293" s="12" t="str">
        <f t="shared" si="64"/>
        <v/>
      </c>
      <c r="K293" s="12" t="str">
        <f t="shared" si="65"/>
        <v/>
      </c>
      <c r="L293" s="12" t="str">
        <f t="shared" si="66"/>
        <v/>
      </c>
      <c r="M293" s="12" t="str">
        <f t="shared" si="67"/>
        <v/>
      </c>
      <c r="N293" s="12" t="str">
        <f t="shared" si="68"/>
        <v/>
      </c>
      <c r="O293" s="12" t="str">
        <f t="shared" si="69"/>
        <v/>
      </c>
      <c r="P293" s="12" t="str">
        <f t="shared" si="70"/>
        <v/>
      </c>
      <c r="Q293" s="12" t="e">
        <f t="shared" si="75"/>
        <v>#VALUE!</v>
      </c>
      <c r="R293" s="39" t="str">
        <f t="shared" si="72"/>
        <v/>
      </c>
      <c r="S293" s="39" t="str">
        <f t="shared" si="76"/>
        <v/>
      </c>
      <c r="V293" s="12" t="str">
        <f t="shared" si="61"/>
        <v/>
      </c>
      <c r="W293" s="22" t="str">
        <f t="shared" si="60"/>
        <v/>
      </c>
    </row>
    <row r="294" spans="7:23" x14ac:dyDescent="0.25">
      <c r="G294" s="12" t="str">
        <f t="shared" si="73"/>
        <v/>
      </c>
      <c r="H294" s="12" t="str">
        <f t="shared" si="62"/>
        <v/>
      </c>
      <c r="I294" s="12" t="str">
        <f t="shared" si="63"/>
        <v/>
      </c>
      <c r="J294" s="12" t="str">
        <f t="shared" si="64"/>
        <v/>
      </c>
      <c r="K294" s="12" t="str">
        <f t="shared" si="65"/>
        <v/>
      </c>
      <c r="L294" s="12" t="str">
        <f t="shared" si="66"/>
        <v/>
      </c>
      <c r="M294" s="12" t="str">
        <f t="shared" si="67"/>
        <v/>
      </c>
      <c r="N294" s="12" t="str">
        <f t="shared" si="68"/>
        <v/>
      </c>
      <c r="O294" s="12" t="str">
        <f t="shared" si="69"/>
        <v/>
      </c>
      <c r="P294" s="12" t="str">
        <f t="shared" si="70"/>
        <v/>
      </c>
      <c r="Q294" s="12" t="e">
        <f t="shared" si="75"/>
        <v>#VALUE!</v>
      </c>
      <c r="R294" s="39" t="str">
        <f t="shared" si="72"/>
        <v/>
      </c>
      <c r="S294" s="39" t="str">
        <f t="shared" si="76"/>
        <v/>
      </c>
      <c r="V294" s="12" t="str">
        <f t="shared" si="61"/>
        <v/>
      </c>
      <c r="W294" s="22" t="str">
        <f t="shared" si="60"/>
        <v/>
      </c>
    </row>
    <row r="295" spans="7:23" x14ac:dyDescent="0.25">
      <c r="G295" s="12" t="str">
        <f t="shared" si="73"/>
        <v/>
      </c>
      <c r="H295" s="12" t="str">
        <f t="shared" si="62"/>
        <v/>
      </c>
      <c r="I295" s="12" t="str">
        <f t="shared" si="63"/>
        <v/>
      </c>
      <c r="J295" s="12" t="str">
        <f t="shared" si="64"/>
        <v/>
      </c>
      <c r="K295" s="12" t="str">
        <f t="shared" si="65"/>
        <v/>
      </c>
      <c r="L295" s="12" t="str">
        <f t="shared" si="66"/>
        <v/>
      </c>
      <c r="M295" s="12" t="str">
        <f t="shared" si="67"/>
        <v/>
      </c>
      <c r="N295" s="12" t="str">
        <f t="shared" si="68"/>
        <v/>
      </c>
      <c r="O295" s="12" t="str">
        <f t="shared" si="69"/>
        <v/>
      </c>
      <c r="P295" s="12" t="str">
        <f t="shared" si="70"/>
        <v/>
      </c>
      <c r="Q295" s="12" t="e">
        <f t="shared" si="75"/>
        <v>#VALUE!</v>
      </c>
      <c r="R295" s="39" t="str">
        <f t="shared" si="72"/>
        <v/>
      </c>
      <c r="S295" s="39" t="str">
        <f t="shared" si="76"/>
        <v/>
      </c>
      <c r="V295" s="12" t="str">
        <f t="shared" si="61"/>
        <v/>
      </c>
      <c r="W295" s="22" t="str">
        <f t="shared" si="60"/>
        <v/>
      </c>
    </row>
    <row r="296" spans="7:23" x14ac:dyDescent="0.25">
      <c r="G296" s="12" t="str">
        <f t="shared" si="73"/>
        <v/>
      </c>
      <c r="H296" s="12" t="str">
        <f t="shared" si="62"/>
        <v/>
      </c>
      <c r="I296" s="12" t="str">
        <f t="shared" si="63"/>
        <v/>
      </c>
      <c r="J296" s="12" t="str">
        <f t="shared" si="64"/>
        <v/>
      </c>
      <c r="K296" s="12" t="str">
        <f t="shared" si="65"/>
        <v/>
      </c>
      <c r="L296" s="12" t="str">
        <f t="shared" si="66"/>
        <v/>
      </c>
      <c r="M296" s="12" t="str">
        <f t="shared" si="67"/>
        <v/>
      </c>
      <c r="N296" s="12" t="str">
        <f t="shared" si="68"/>
        <v/>
      </c>
      <c r="O296" s="12" t="str">
        <f t="shared" si="69"/>
        <v/>
      </c>
      <c r="P296" s="12" t="str">
        <f t="shared" si="70"/>
        <v/>
      </c>
      <c r="Q296" s="12" t="e">
        <f t="shared" si="75"/>
        <v>#VALUE!</v>
      </c>
      <c r="R296" s="39" t="str">
        <f t="shared" si="72"/>
        <v/>
      </c>
      <c r="S296" s="39" t="str">
        <f t="shared" si="76"/>
        <v/>
      </c>
      <c r="V296" s="12" t="str">
        <f t="shared" si="61"/>
        <v/>
      </c>
      <c r="W296" s="22" t="str">
        <f t="shared" si="60"/>
        <v/>
      </c>
    </row>
    <row r="297" spans="7:23" x14ac:dyDescent="0.25">
      <c r="G297" s="12" t="str">
        <f t="shared" si="73"/>
        <v/>
      </c>
      <c r="H297" s="12" t="str">
        <f t="shared" si="62"/>
        <v/>
      </c>
      <c r="I297" s="12" t="str">
        <f t="shared" si="63"/>
        <v/>
      </c>
      <c r="J297" s="12" t="str">
        <f t="shared" si="64"/>
        <v/>
      </c>
      <c r="K297" s="12" t="str">
        <f t="shared" si="65"/>
        <v/>
      </c>
      <c r="L297" s="12" t="str">
        <f t="shared" si="66"/>
        <v/>
      </c>
      <c r="M297" s="12" t="str">
        <f t="shared" si="67"/>
        <v/>
      </c>
      <c r="N297" s="12" t="str">
        <f t="shared" si="68"/>
        <v/>
      </c>
      <c r="O297" s="12" t="str">
        <f t="shared" si="69"/>
        <v/>
      </c>
      <c r="P297" s="12" t="str">
        <f t="shared" si="70"/>
        <v/>
      </c>
      <c r="Q297" s="12" t="e">
        <f t="shared" si="75"/>
        <v>#VALUE!</v>
      </c>
      <c r="R297" s="39" t="str">
        <f t="shared" si="72"/>
        <v/>
      </c>
      <c r="S297" s="39" t="str">
        <f t="shared" si="76"/>
        <v/>
      </c>
      <c r="V297" s="12" t="str">
        <f t="shared" si="61"/>
        <v/>
      </c>
      <c r="W297" s="22" t="str">
        <f t="shared" si="60"/>
        <v/>
      </c>
    </row>
    <row r="298" spans="7:23" x14ac:dyDescent="0.25">
      <c r="G298" s="12" t="str">
        <f t="shared" si="73"/>
        <v/>
      </c>
      <c r="H298" s="12" t="str">
        <f t="shared" si="62"/>
        <v/>
      </c>
      <c r="I298" s="12" t="str">
        <f t="shared" si="63"/>
        <v/>
      </c>
      <c r="J298" s="12" t="str">
        <f t="shared" si="64"/>
        <v/>
      </c>
      <c r="K298" s="12" t="str">
        <f t="shared" si="65"/>
        <v/>
      </c>
      <c r="L298" s="12" t="str">
        <f t="shared" si="66"/>
        <v/>
      </c>
      <c r="M298" s="12" t="str">
        <f t="shared" si="67"/>
        <v/>
      </c>
      <c r="N298" s="12" t="str">
        <f t="shared" si="68"/>
        <v/>
      </c>
      <c r="O298" s="12" t="str">
        <f t="shared" si="69"/>
        <v/>
      </c>
      <c r="P298" s="12" t="str">
        <f t="shared" si="70"/>
        <v/>
      </c>
      <c r="Q298" s="12" t="e">
        <f t="shared" si="75"/>
        <v>#VALUE!</v>
      </c>
      <c r="R298" s="39" t="str">
        <f t="shared" si="72"/>
        <v/>
      </c>
      <c r="S298" s="39" t="str">
        <f t="shared" si="76"/>
        <v/>
      </c>
      <c r="V298" s="12" t="str">
        <f t="shared" si="61"/>
        <v/>
      </c>
      <c r="W298" s="22" t="str">
        <f t="shared" si="60"/>
        <v/>
      </c>
    </row>
    <row r="299" spans="7:23" x14ac:dyDescent="0.25">
      <c r="G299" s="12" t="str">
        <f t="shared" si="73"/>
        <v/>
      </c>
      <c r="H299" s="12" t="str">
        <f t="shared" si="62"/>
        <v/>
      </c>
      <c r="I299" s="12" t="str">
        <f t="shared" si="63"/>
        <v/>
      </c>
      <c r="J299" s="12" t="str">
        <f t="shared" si="64"/>
        <v/>
      </c>
      <c r="K299" s="12" t="str">
        <f t="shared" si="65"/>
        <v/>
      </c>
      <c r="L299" s="12" t="str">
        <f t="shared" si="66"/>
        <v/>
      </c>
      <c r="M299" s="12" t="str">
        <f t="shared" si="67"/>
        <v/>
      </c>
      <c r="N299" s="12" t="str">
        <f t="shared" si="68"/>
        <v/>
      </c>
      <c r="O299" s="12" t="str">
        <f t="shared" si="69"/>
        <v/>
      </c>
      <c r="P299" s="12" t="str">
        <f t="shared" si="70"/>
        <v/>
      </c>
      <c r="Q299" s="12" t="e">
        <f t="shared" si="75"/>
        <v>#VALUE!</v>
      </c>
      <c r="R299" s="39" t="str">
        <f t="shared" si="72"/>
        <v/>
      </c>
      <c r="S299" s="39" t="str">
        <f t="shared" si="76"/>
        <v/>
      </c>
      <c r="V299" s="12" t="str">
        <f t="shared" si="61"/>
        <v/>
      </c>
      <c r="W299" s="22" t="str">
        <f t="shared" si="60"/>
        <v/>
      </c>
    </row>
    <row r="300" spans="7:23" x14ac:dyDescent="0.25">
      <c r="G300" s="12" t="str">
        <f t="shared" si="73"/>
        <v/>
      </c>
      <c r="H300" s="12" t="str">
        <f t="shared" si="62"/>
        <v/>
      </c>
      <c r="I300" s="12" t="str">
        <f t="shared" si="63"/>
        <v/>
      </c>
      <c r="J300" s="12" t="str">
        <f t="shared" si="64"/>
        <v/>
      </c>
      <c r="K300" s="12" t="str">
        <f t="shared" si="65"/>
        <v/>
      </c>
      <c r="L300" s="12" t="str">
        <f t="shared" si="66"/>
        <v/>
      </c>
      <c r="M300" s="12" t="str">
        <f t="shared" si="67"/>
        <v/>
      </c>
      <c r="N300" s="12" t="str">
        <f t="shared" si="68"/>
        <v/>
      </c>
      <c r="O300" s="12" t="str">
        <f t="shared" si="69"/>
        <v/>
      </c>
      <c r="P300" s="12" t="str">
        <f t="shared" si="70"/>
        <v/>
      </c>
      <c r="Q300" s="12" t="e">
        <f t="shared" si="75"/>
        <v>#VALUE!</v>
      </c>
      <c r="R300" s="39" t="str">
        <f t="shared" si="72"/>
        <v/>
      </c>
      <c r="S300" s="39" t="str">
        <f t="shared" si="76"/>
        <v/>
      </c>
      <c r="V300" s="12" t="str">
        <f t="shared" si="61"/>
        <v/>
      </c>
      <c r="W300" s="22" t="str">
        <f t="shared" si="60"/>
        <v/>
      </c>
    </row>
    <row r="301" spans="7:23" x14ac:dyDescent="0.25">
      <c r="G301" s="12" t="str">
        <f t="shared" si="73"/>
        <v/>
      </c>
      <c r="H301" s="12" t="str">
        <f t="shared" si="62"/>
        <v/>
      </c>
      <c r="I301" s="12" t="str">
        <f t="shared" si="63"/>
        <v/>
      </c>
      <c r="J301" s="12" t="str">
        <f t="shared" si="64"/>
        <v/>
      </c>
      <c r="K301" s="12" t="str">
        <f t="shared" si="65"/>
        <v/>
      </c>
      <c r="L301" s="12" t="str">
        <f t="shared" si="66"/>
        <v/>
      </c>
      <c r="M301" s="12" t="str">
        <f t="shared" si="67"/>
        <v/>
      </c>
      <c r="N301" s="12" t="str">
        <f t="shared" si="68"/>
        <v/>
      </c>
      <c r="O301" s="12" t="str">
        <f t="shared" si="69"/>
        <v/>
      </c>
      <c r="P301" s="12" t="str">
        <f t="shared" si="70"/>
        <v/>
      </c>
      <c r="Q301" s="12" t="e">
        <f t="shared" si="75"/>
        <v>#VALUE!</v>
      </c>
      <c r="R301" s="39" t="str">
        <f t="shared" si="72"/>
        <v/>
      </c>
      <c r="S301" s="39" t="str">
        <f t="shared" si="76"/>
        <v/>
      </c>
      <c r="V301" s="12" t="str">
        <f t="shared" si="61"/>
        <v/>
      </c>
      <c r="W301" s="22" t="str">
        <f t="shared" si="60"/>
        <v/>
      </c>
    </row>
    <row r="302" spans="7:23" x14ac:dyDescent="0.25">
      <c r="G302" s="12" t="str">
        <f t="shared" si="73"/>
        <v/>
      </c>
      <c r="H302" s="12" t="str">
        <f t="shared" si="62"/>
        <v/>
      </c>
      <c r="I302" s="12" t="str">
        <f t="shared" si="63"/>
        <v/>
      </c>
      <c r="J302" s="12" t="str">
        <f t="shared" si="64"/>
        <v/>
      </c>
      <c r="K302" s="12" t="str">
        <f t="shared" si="65"/>
        <v/>
      </c>
      <c r="L302" s="12" t="str">
        <f t="shared" si="66"/>
        <v/>
      </c>
      <c r="M302" s="12" t="str">
        <f t="shared" si="67"/>
        <v/>
      </c>
      <c r="N302" s="12" t="str">
        <f t="shared" si="68"/>
        <v/>
      </c>
      <c r="O302" s="12" t="str">
        <f t="shared" si="69"/>
        <v/>
      </c>
      <c r="P302" s="12" t="str">
        <f t="shared" si="70"/>
        <v/>
      </c>
      <c r="Q302" s="12" t="e">
        <f t="shared" si="75"/>
        <v>#VALUE!</v>
      </c>
      <c r="R302" s="39" t="str">
        <f t="shared" si="72"/>
        <v/>
      </c>
      <c r="S302" s="39" t="str">
        <f t="shared" si="76"/>
        <v/>
      </c>
      <c r="V302" s="12" t="str">
        <f t="shared" si="61"/>
        <v/>
      </c>
      <c r="W302" s="22" t="str">
        <f t="shared" si="60"/>
        <v/>
      </c>
    </row>
    <row r="303" spans="7:23" x14ac:dyDescent="0.25">
      <c r="G303" s="12" t="str">
        <f t="shared" si="73"/>
        <v/>
      </c>
      <c r="H303" s="12" t="str">
        <f t="shared" si="62"/>
        <v/>
      </c>
      <c r="I303" s="12" t="str">
        <f t="shared" si="63"/>
        <v/>
      </c>
      <c r="J303" s="12" t="str">
        <f t="shared" si="64"/>
        <v/>
      </c>
      <c r="K303" s="12" t="str">
        <f t="shared" si="65"/>
        <v/>
      </c>
      <c r="L303" s="12" t="str">
        <f t="shared" si="66"/>
        <v/>
      </c>
      <c r="M303" s="12" t="str">
        <f t="shared" si="67"/>
        <v/>
      </c>
      <c r="N303" s="12" t="str">
        <f t="shared" si="68"/>
        <v/>
      </c>
      <c r="O303" s="12" t="str">
        <f t="shared" si="69"/>
        <v/>
      </c>
      <c r="P303" s="12" t="str">
        <f t="shared" si="70"/>
        <v/>
      </c>
      <c r="Q303" s="12" t="e">
        <f t="shared" si="75"/>
        <v>#VALUE!</v>
      </c>
      <c r="R303" s="39" t="str">
        <f t="shared" si="72"/>
        <v/>
      </c>
      <c r="S303" s="39" t="str">
        <f t="shared" si="76"/>
        <v/>
      </c>
      <c r="V303" s="12" t="str">
        <f t="shared" si="61"/>
        <v/>
      </c>
      <c r="W303" s="22" t="str">
        <f t="shared" si="60"/>
        <v/>
      </c>
    </row>
    <row r="304" spans="7:23" x14ac:dyDescent="0.25">
      <c r="G304" s="12" t="str">
        <f t="shared" si="73"/>
        <v/>
      </c>
      <c r="H304" s="12" t="str">
        <f t="shared" si="62"/>
        <v/>
      </c>
      <c r="I304" s="12" t="str">
        <f t="shared" si="63"/>
        <v/>
      </c>
      <c r="J304" s="12" t="str">
        <f t="shared" si="64"/>
        <v/>
      </c>
      <c r="K304" s="12" t="str">
        <f t="shared" si="65"/>
        <v/>
      </c>
      <c r="L304" s="12" t="str">
        <f t="shared" si="66"/>
        <v/>
      </c>
      <c r="M304" s="12" t="str">
        <f t="shared" si="67"/>
        <v/>
      </c>
      <c r="N304" s="12" t="str">
        <f t="shared" si="68"/>
        <v/>
      </c>
      <c r="O304" s="12" t="str">
        <f t="shared" si="69"/>
        <v/>
      </c>
      <c r="P304" s="12" t="str">
        <f t="shared" si="70"/>
        <v/>
      </c>
      <c r="Q304" s="12" t="e">
        <f t="shared" si="75"/>
        <v>#VALUE!</v>
      </c>
      <c r="R304" s="39" t="str">
        <f t="shared" si="72"/>
        <v/>
      </c>
      <c r="S304" s="39" t="str">
        <f t="shared" si="76"/>
        <v/>
      </c>
      <c r="V304" s="12" t="str">
        <f t="shared" si="61"/>
        <v/>
      </c>
      <c r="W304" s="22" t="str">
        <f t="shared" si="60"/>
        <v/>
      </c>
    </row>
    <row r="305" spans="7:23" x14ac:dyDescent="0.25">
      <c r="G305" s="12" t="str">
        <f t="shared" si="73"/>
        <v/>
      </c>
      <c r="H305" s="12" t="str">
        <f t="shared" si="62"/>
        <v/>
      </c>
      <c r="I305" s="12" t="str">
        <f t="shared" si="63"/>
        <v/>
      </c>
      <c r="J305" s="12" t="str">
        <f t="shared" si="64"/>
        <v/>
      </c>
      <c r="K305" s="12" t="str">
        <f t="shared" si="65"/>
        <v/>
      </c>
      <c r="L305" s="12" t="str">
        <f t="shared" si="66"/>
        <v/>
      </c>
      <c r="M305" s="12" t="str">
        <f t="shared" si="67"/>
        <v/>
      </c>
      <c r="N305" s="12" t="str">
        <f t="shared" si="68"/>
        <v/>
      </c>
      <c r="O305" s="12" t="str">
        <f t="shared" si="69"/>
        <v/>
      </c>
      <c r="P305" s="12" t="str">
        <f t="shared" si="70"/>
        <v/>
      </c>
      <c r="Q305" s="12" t="e">
        <f t="shared" si="75"/>
        <v>#VALUE!</v>
      </c>
      <c r="R305" s="39" t="str">
        <f t="shared" si="72"/>
        <v/>
      </c>
      <c r="S305" s="39" t="str">
        <f t="shared" si="76"/>
        <v/>
      </c>
      <c r="V305" s="12" t="str">
        <f t="shared" si="61"/>
        <v/>
      </c>
      <c r="W305" s="22" t="str">
        <f t="shared" si="60"/>
        <v/>
      </c>
    </row>
    <row r="306" spans="7:23" x14ac:dyDescent="0.25">
      <c r="G306" s="12" t="str">
        <f t="shared" si="73"/>
        <v/>
      </c>
      <c r="H306" s="12" t="str">
        <f t="shared" si="62"/>
        <v/>
      </c>
      <c r="I306" s="12" t="str">
        <f t="shared" si="63"/>
        <v/>
      </c>
      <c r="J306" s="12" t="str">
        <f t="shared" si="64"/>
        <v/>
      </c>
      <c r="K306" s="12" t="str">
        <f t="shared" si="65"/>
        <v/>
      </c>
      <c r="L306" s="12" t="str">
        <f t="shared" si="66"/>
        <v/>
      </c>
      <c r="M306" s="12" t="str">
        <f t="shared" si="67"/>
        <v/>
      </c>
      <c r="N306" s="12" t="str">
        <f t="shared" si="68"/>
        <v/>
      </c>
      <c r="O306" s="12" t="str">
        <f t="shared" si="69"/>
        <v/>
      </c>
      <c r="P306" s="12" t="str">
        <f t="shared" si="70"/>
        <v/>
      </c>
      <c r="Q306" s="12" t="e">
        <f t="shared" si="75"/>
        <v>#VALUE!</v>
      </c>
      <c r="R306" s="39" t="str">
        <f t="shared" si="72"/>
        <v/>
      </c>
      <c r="S306" s="39" t="str">
        <f t="shared" si="76"/>
        <v/>
      </c>
      <c r="V306" s="12" t="str">
        <f t="shared" si="61"/>
        <v/>
      </c>
      <c r="W306" s="22" t="str">
        <f t="shared" si="60"/>
        <v/>
      </c>
    </row>
    <row r="307" spans="7:23" x14ac:dyDescent="0.25">
      <c r="G307" s="12" t="str">
        <f t="shared" si="73"/>
        <v/>
      </c>
      <c r="H307" s="12" t="str">
        <f t="shared" si="62"/>
        <v/>
      </c>
      <c r="I307" s="12" t="str">
        <f t="shared" si="63"/>
        <v/>
      </c>
      <c r="J307" s="12" t="str">
        <f t="shared" si="64"/>
        <v/>
      </c>
      <c r="K307" s="12" t="str">
        <f t="shared" si="65"/>
        <v/>
      </c>
      <c r="L307" s="12" t="str">
        <f t="shared" si="66"/>
        <v/>
      </c>
      <c r="M307" s="12" t="str">
        <f t="shared" si="67"/>
        <v/>
      </c>
      <c r="N307" s="12" t="str">
        <f t="shared" si="68"/>
        <v/>
      </c>
      <c r="O307" s="12" t="str">
        <f t="shared" si="69"/>
        <v/>
      </c>
      <c r="P307" s="12" t="str">
        <f t="shared" si="70"/>
        <v/>
      </c>
      <c r="Q307" s="12" t="e">
        <f t="shared" si="75"/>
        <v>#VALUE!</v>
      </c>
      <c r="R307" s="39" t="str">
        <f t="shared" si="72"/>
        <v/>
      </c>
      <c r="S307" s="39" t="str">
        <f t="shared" si="76"/>
        <v/>
      </c>
      <c r="V307" s="12" t="str">
        <f t="shared" si="61"/>
        <v/>
      </c>
      <c r="W307" s="22" t="str">
        <f t="shared" si="60"/>
        <v/>
      </c>
    </row>
    <row r="308" spans="7:23" x14ac:dyDescent="0.25">
      <c r="G308" s="12" t="str">
        <f t="shared" si="73"/>
        <v/>
      </c>
      <c r="H308" s="12" t="str">
        <f t="shared" si="62"/>
        <v/>
      </c>
      <c r="I308" s="12" t="str">
        <f t="shared" si="63"/>
        <v/>
      </c>
      <c r="J308" s="12" t="str">
        <f t="shared" si="64"/>
        <v/>
      </c>
      <c r="K308" s="12" t="str">
        <f t="shared" si="65"/>
        <v/>
      </c>
      <c r="L308" s="12" t="str">
        <f t="shared" si="66"/>
        <v/>
      </c>
      <c r="M308" s="12" t="str">
        <f t="shared" si="67"/>
        <v/>
      </c>
      <c r="N308" s="12" t="str">
        <f t="shared" si="68"/>
        <v/>
      </c>
      <c r="O308" s="12" t="str">
        <f t="shared" si="69"/>
        <v/>
      </c>
      <c r="P308" s="12" t="str">
        <f t="shared" si="70"/>
        <v/>
      </c>
      <c r="Q308" s="12" t="e">
        <f t="shared" si="75"/>
        <v>#VALUE!</v>
      </c>
      <c r="R308" s="39" t="str">
        <f t="shared" si="72"/>
        <v/>
      </c>
      <c r="S308" s="39" t="str">
        <f t="shared" si="76"/>
        <v/>
      </c>
      <c r="V308" s="12" t="str">
        <f t="shared" si="61"/>
        <v/>
      </c>
      <c r="W308" s="22" t="str">
        <f t="shared" si="60"/>
        <v/>
      </c>
    </row>
    <row r="309" spans="7:23" x14ac:dyDescent="0.25">
      <c r="G309" s="12" t="str">
        <f t="shared" si="73"/>
        <v/>
      </c>
      <c r="H309" s="12" t="str">
        <f t="shared" si="62"/>
        <v/>
      </c>
      <c r="I309" s="12" t="str">
        <f t="shared" si="63"/>
        <v/>
      </c>
      <c r="J309" s="12" t="str">
        <f t="shared" si="64"/>
        <v/>
      </c>
      <c r="K309" s="12" t="str">
        <f t="shared" si="65"/>
        <v/>
      </c>
      <c r="L309" s="12" t="str">
        <f t="shared" si="66"/>
        <v/>
      </c>
      <c r="M309" s="12" t="str">
        <f t="shared" si="67"/>
        <v/>
      </c>
      <c r="N309" s="12" t="str">
        <f t="shared" si="68"/>
        <v/>
      </c>
      <c r="O309" s="12" t="str">
        <f t="shared" si="69"/>
        <v/>
      </c>
      <c r="P309" s="12" t="str">
        <f t="shared" si="70"/>
        <v/>
      </c>
      <c r="Q309" s="12" t="e">
        <f t="shared" si="75"/>
        <v>#VALUE!</v>
      </c>
      <c r="R309" s="39" t="str">
        <f t="shared" si="72"/>
        <v/>
      </c>
      <c r="S309" s="39" t="str">
        <f t="shared" si="76"/>
        <v/>
      </c>
      <c r="V309" s="12" t="str">
        <f t="shared" si="61"/>
        <v/>
      </c>
      <c r="W309" s="22" t="str">
        <f t="shared" si="60"/>
        <v/>
      </c>
    </row>
    <row r="310" spans="7:23" x14ac:dyDescent="0.25">
      <c r="G310" s="12" t="str">
        <f t="shared" si="73"/>
        <v/>
      </c>
      <c r="H310" s="12" t="str">
        <f t="shared" si="62"/>
        <v/>
      </c>
      <c r="I310" s="12" t="str">
        <f t="shared" si="63"/>
        <v/>
      </c>
      <c r="J310" s="12" t="str">
        <f t="shared" si="64"/>
        <v/>
      </c>
      <c r="K310" s="12" t="str">
        <f t="shared" si="65"/>
        <v/>
      </c>
      <c r="L310" s="12" t="str">
        <f t="shared" si="66"/>
        <v/>
      </c>
      <c r="M310" s="12" t="str">
        <f t="shared" si="67"/>
        <v/>
      </c>
      <c r="N310" s="12" t="str">
        <f t="shared" si="68"/>
        <v/>
      </c>
      <c r="O310" s="12" t="str">
        <f t="shared" si="69"/>
        <v/>
      </c>
      <c r="P310" s="12" t="str">
        <f t="shared" si="70"/>
        <v/>
      </c>
      <c r="Q310" s="12" t="e">
        <f t="shared" si="75"/>
        <v>#VALUE!</v>
      </c>
      <c r="R310" s="39" t="str">
        <f t="shared" si="72"/>
        <v/>
      </c>
      <c r="S310" s="39" t="str">
        <f t="shared" si="76"/>
        <v/>
      </c>
      <c r="V310" s="12" t="str">
        <f t="shared" si="61"/>
        <v/>
      </c>
      <c r="W310" s="22" t="str">
        <f t="shared" ref="W310:W373" si="77">_xlfn.IFS(V310="","",SECOND(V310)&lt;10,"",  (HOUR(V310)*3600+MINUTE(V310)*60+SECOND(V310))&gt;60,"", (HOUR(V310)*3600+MINUTE(V310)*60+SECOND(V310))&lt;60, HOUR(V310)*3600+MINUTE(V310)*60+SECOND(V310))</f>
        <v/>
      </c>
    </row>
    <row r="311" spans="7:23" x14ac:dyDescent="0.25">
      <c r="G311" s="12" t="str">
        <f t="shared" si="73"/>
        <v/>
      </c>
      <c r="H311" s="12" t="str">
        <f t="shared" si="62"/>
        <v/>
      </c>
      <c r="I311" s="12" t="str">
        <f t="shared" si="63"/>
        <v/>
      </c>
      <c r="J311" s="12" t="str">
        <f t="shared" si="64"/>
        <v/>
      </c>
      <c r="K311" s="12" t="str">
        <f t="shared" si="65"/>
        <v/>
      </c>
      <c r="L311" s="12" t="str">
        <f t="shared" si="66"/>
        <v/>
      </c>
      <c r="M311" s="12" t="str">
        <f t="shared" si="67"/>
        <v/>
      </c>
      <c r="N311" s="12" t="str">
        <f t="shared" si="68"/>
        <v/>
      </c>
      <c r="O311" s="12" t="str">
        <f t="shared" si="69"/>
        <v/>
      </c>
      <c r="P311" s="12" t="str">
        <f t="shared" si="70"/>
        <v/>
      </c>
      <c r="Q311" s="12" t="e">
        <f t="shared" si="75"/>
        <v>#VALUE!</v>
      </c>
      <c r="R311" s="39" t="str">
        <f t="shared" si="72"/>
        <v/>
      </c>
      <c r="S311" s="39" t="str">
        <f t="shared" si="76"/>
        <v/>
      </c>
      <c r="V311" s="12" t="str">
        <f t="shared" si="61"/>
        <v/>
      </c>
      <c r="W311" s="22" t="str">
        <f t="shared" si="77"/>
        <v/>
      </c>
    </row>
    <row r="312" spans="7:23" x14ac:dyDescent="0.25">
      <c r="G312" s="12" t="str">
        <f t="shared" si="73"/>
        <v/>
      </c>
      <c r="H312" s="12" t="str">
        <f t="shared" si="62"/>
        <v/>
      </c>
      <c r="I312" s="12" t="str">
        <f t="shared" si="63"/>
        <v/>
      </c>
      <c r="J312" s="12" t="str">
        <f t="shared" si="64"/>
        <v/>
      </c>
      <c r="K312" s="12" t="str">
        <f t="shared" si="65"/>
        <v/>
      </c>
      <c r="L312" s="12" t="str">
        <f t="shared" si="66"/>
        <v/>
      </c>
      <c r="M312" s="12" t="str">
        <f t="shared" si="67"/>
        <v/>
      </c>
      <c r="N312" s="12" t="str">
        <f t="shared" si="68"/>
        <v/>
      </c>
      <c r="O312" s="12" t="str">
        <f t="shared" si="69"/>
        <v/>
      </c>
      <c r="P312" s="12" t="str">
        <f t="shared" si="70"/>
        <v/>
      </c>
      <c r="Q312" s="12" t="e">
        <f t="shared" si="75"/>
        <v>#VALUE!</v>
      </c>
      <c r="R312" s="39" t="str">
        <f t="shared" si="72"/>
        <v/>
      </c>
      <c r="S312" s="39" t="str">
        <f t="shared" si="76"/>
        <v/>
      </c>
      <c r="V312" s="12" t="str">
        <f t="shared" si="61"/>
        <v/>
      </c>
      <c r="W312" s="22" t="str">
        <f t="shared" si="77"/>
        <v/>
      </c>
    </row>
    <row r="313" spans="7:23" x14ac:dyDescent="0.25">
      <c r="G313" s="12" t="str">
        <f t="shared" si="73"/>
        <v/>
      </c>
      <c r="H313" s="12" t="str">
        <f t="shared" si="62"/>
        <v/>
      </c>
      <c r="I313" s="12" t="str">
        <f t="shared" si="63"/>
        <v/>
      </c>
      <c r="J313" s="12" t="str">
        <f t="shared" si="64"/>
        <v/>
      </c>
      <c r="K313" s="12" t="str">
        <f t="shared" si="65"/>
        <v/>
      </c>
      <c r="L313" s="12" t="str">
        <f t="shared" si="66"/>
        <v/>
      </c>
      <c r="M313" s="12" t="str">
        <f t="shared" si="67"/>
        <v/>
      </c>
      <c r="N313" s="12" t="str">
        <f t="shared" si="68"/>
        <v/>
      </c>
      <c r="O313" s="12" t="str">
        <f t="shared" si="69"/>
        <v/>
      </c>
      <c r="P313" s="12" t="str">
        <f t="shared" si="70"/>
        <v/>
      </c>
      <c r="Q313" s="12" t="e">
        <f t="shared" si="75"/>
        <v>#VALUE!</v>
      </c>
      <c r="R313" s="39" t="str">
        <f t="shared" si="72"/>
        <v/>
      </c>
      <c r="S313" s="39" t="str">
        <f t="shared" si="76"/>
        <v/>
      </c>
      <c r="V313" s="12" t="str">
        <f t="shared" si="61"/>
        <v/>
      </c>
      <c r="W313" s="22" t="str">
        <f t="shared" si="77"/>
        <v/>
      </c>
    </row>
    <row r="314" spans="7:23" x14ac:dyDescent="0.25">
      <c r="G314" s="12" t="str">
        <f t="shared" si="73"/>
        <v/>
      </c>
      <c r="H314" s="12" t="str">
        <f t="shared" si="62"/>
        <v/>
      </c>
      <c r="I314" s="12" t="str">
        <f t="shared" si="63"/>
        <v/>
      </c>
      <c r="J314" s="12" t="str">
        <f t="shared" si="64"/>
        <v/>
      </c>
      <c r="K314" s="12" t="str">
        <f t="shared" si="65"/>
        <v/>
      </c>
      <c r="L314" s="12" t="str">
        <f t="shared" si="66"/>
        <v/>
      </c>
      <c r="M314" s="12" t="str">
        <f t="shared" si="67"/>
        <v/>
      </c>
      <c r="N314" s="12" t="str">
        <f t="shared" si="68"/>
        <v/>
      </c>
      <c r="O314" s="12" t="str">
        <f t="shared" si="69"/>
        <v/>
      </c>
      <c r="P314" s="12" t="str">
        <f t="shared" si="70"/>
        <v/>
      </c>
      <c r="Q314" s="12" t="e">
        <f t="shared" si="75"/>
        <v>#VALUE!</v>
      </c>
      <c r="R314" s="39" t="str">
        <f t="shared" si="72"/>
        <v/>
      </c>
      <c r="S314" s="39" t="str">
        <f t="shared" si="76"/>
        <v/>
      </c>
      <c r="V314" s="12" t="str">
        <f t="shared" si="61"/>
        <v/>
      </c>
      <c r="W314" s="22" t="str">
        <f t="shared" si="77"/>
        <v/>
      </c>
    </row>
    <row r="315" spans="7:23" x14ac:dyDescent="0.25">
      <c r="G315" s="12" t="str">
        <f t="shared" si="73"/>
        <v/>
      </c>
      <c r="H315" s="12" t="str">
        <f t="shared" si="62"/>
        <v/>
      </c>
      <c r="I315" s="12" t="str">
        <f t="shared" si="63"/>
        <v/>
      </c>
      <c r="J315" s="12" t="str">
        <f t="shared" si="64"/>
        <v/>
      </c>
      <c r="K315" s="12" t="str">
        <f t="shared" si="65"/>
        <v/>
      </c>
      <c r="L315" s="12" t="str">
        <f t="shared" si="66"/>
        <v/>
      </c>
      <c r="M315" s="12" t="str">
        <f t="shared" si="67"/>
        <v/>
      </c>
      <c r="N315" s="12" t="str">
        <f t="shared" si="68"/>
        <v/>
      </c>
      <c r="O315" s="12" t="str">
        <f t="shared" si="69"/>
        <v/>
      </c>
      <c r="P315" s="12" t="str">
        <f t="shared" si="70"/>
        <v/>
      </c>
      <c r="Q315" s="12" t="e">
        <f t="shared" si="75"/>
        <v>#VALUE!</v>
      </c>
      <c r="R315" s="39" t="str">
        <f t="shared" si="72"/>
        <v/>
      </c>
      <c r="S315" s="39" t="str">
        <f t="shared" si="76"/>
        <v/>
      </c>
      <c r="V315" s="12" t="str">
        <f t="shared" si="61"/>
        <v/>
      </c>
      <c r="W315" s="22" t="str">
        <f t="shared" si="77"/>
        <v/>
      </c>
    </row>
    <row r="316" spans="7:23" x14ac:dyDescent="0.25">
      <c r="G316" s="12" t="str">
        <f t="shared" si="73"/>
        <v/>
      </c>
      <c r="H316" s="12" t="str">
        <f t="shared" si="62"/>
        <v/>
      </c>
      <c r="I316" s="12" t="str">
        <f t="shared" si="63"/>
        <v/>
      </c>
      <c r="J316" s="12" t="str">
        <f t="shared" si="64"/>
        <v/>
      </c>
      <c r="K316" s="12" t="str">
        <f t="shared" si="65"/>
        <v/>
      </c>
      <c r="L316" s="12" t="str">
        <f t="shared" si="66"/>
        <v/>
      </c>
      <c r="M316" s="12" t="str">
        <f t="shared" si="67"/>
        <v/>
      </c>
      <c r="N316" s="12" t="str">
        <f t="shared" si="68"/>
        <v/>
      </c>
      <c r="O316" s="12" t="str">
        <f t="shared" si="69"/>
        <v/>
      </c>
      <c r="P316" s="12" t="str">
        <f t="shared" si="70"/>
        <v/>
      </c>
      <c r="Q316" s="12" t="e">
        <f t="shared" si="75"/>
        <v>#VALUE!</v>
      </c>
      <c r="R316" s="39" t="str">
        <f t="shared" si="72"/>
        <v/>
      </c>
      <c r="S316" s="39" t="str">
        <f t="shared" si="76"/>
        <v/>
      </c>
      <c r="V316" s="12" t="str">
        <f t="shared" si="61"/>
        <v/>
      </c>
      <c r="W316" s="22" t="str">
        <f t="shared" si="77"/>
        <v/>
      </c>
    </row>
    <row r="317" spans="7:23" x14ac:dyDescent="0.25">
      <c r="G317" s="12" t="str">
        <f t="shared" si="73"/>
        <v/>
      </c>
      <c r="H317" s="12" t="str">
        <f t="shared" si="62"/>
        <v/>
      </c>
      <c r="I317" s="12" t="str">
        <f t="shared" si="63"/>
        <v/>
      </c>
      <c r="J317" s="12" t="str">
        <f t="shared" si="64"/>
        <v/>
      </c>
      <c r="K317" s="12" t="str">
        <f t="shared" si="65"/>
        <v/>
      </c>
      <c r="L317" s="12" t="str">
        <f t="shared" si="66"/>
        <v/>
      </c>
      <c r="M317" s="12" t="str">
        <f t="shared" si="67"/>
        <v/>
      </c>
      <c r="N317" s="12" t="str">
        <f t="shared" si="68"/>
        <v/>
      </c>
      <c r="O317" s="12" t="str">
        <f t="shared" si="69"/>
        <v/>
      </c>
      <c r="P317" s="12" t="str">
        <f t="shared" si="70"/>
        <v/>
      </c>
      <c r="Q317" s="12" t="e">
        <f t="shared" si="75"/>
        <v>#VALUE!</v>
      </c>
      <c r="R317" s="39" t="str">
        <f t="shared" si="72"/>
        <v/>
      </c>
      <c r="S317" s="39" t="str">
        <f t="shared" si="76"/>
        <v/>
      </c>
      <c r="V317" s="12" t="str">
        <f t="shared" si="61"/>
        <v/>
      </c>
      <c r="W317" s="22" t="str">
        <f t="shared" si="77"/>
        <v/>
      </c>
    </row>
    <row r="318" spans="7:23" x14ac:dyDescent="0.25">
      <c r="G318" s="12" t="str">
        <f t="shared" si="73"/>
        <v/>
      </c>
      <c r="H318" s="12" t="str">
        <f t="shared" si="62"/>
        <v/>
      </c>
      <c r="I318" s="12" t="str">
        <f t="shared" si="63"/>
        <v/>
      </c>
      <c r="J318" s="12" t="str">
        <f t="shared" si="64"/>
        <v/>
      </c>
      <c r="K318" s="12" t="str">
        <f t="shared" si="65"/>
        <v/>
      </c>
      <c r="L318" s="12" t="str">
        <f t="shared" si="66"/>
        <v/>
      </c>
      <c r="M318" s="12" t="str">
        <f t="shared" si="67"/>
        <v/>
      </c>
      <c r="N318" s="12" t="str">
        <f t="shared" si="68"/>
        <v/>
      </c>
      <c r="O318" s="12" t="str">
        <f t="shared" si="69"/>
        <v/>
      </c>
      <c r="P318" s="12" t="str">
        <f t="shared" si="70"/>
        <v/>
      </c>
      <c r="Q318" s="12" t="e">
        <f t="shared" si="75"/>
        <v>#VALUE!</v>
      </c>
      <c r="R318" s="39" t="str">
        <f t="shared" si="72"/>
        <v/>
      </c>
      <c r="S318" s="39" t="str">
        <f t="shared" si="76"/>
        <v/>
      </c>
      <c r="V318" s="12" t="str">
        <f t="shared" si="61"/>
        <v/>
      </c>
      <c r="W318" s="22" t="str">
        <f t="shared" si="77"/>
        <v/>
      </c>
    </row>
    <row r="319" spans="7:23" x14ac:dyDescent="0.25">
      <c r="G319" s="12" t="str">
        <f t="shared" si="73"/>
        <v/>
      </c>
      <c r="H319" s="12" t="str">
        <f t="shared" si="62"/>
        <v/>
      </c>
      <c r="I319" s="12" t="str">
        <f t="shared" si="63"/>
        <v/>
      </c>
      <c r="J319" s="12" t="str">
        <f t="shared" si="64"/>
        <v/>
      </c>
      <c r="K319" s="12" t="str">
        <f t="shared" si="65"/>
        <v/>
      </c>
      <c r="L319" s="12" t="str">
        <f t="shared" si="66"/>
        <v/>
      </c>
      <c r="M319" s="12" t="str">
        <f t="shared" si="67"/>
        <v/>
      </c>
      <c r="N319" s="12" t="str">
        <f t="shared" si="68"/>
        <v/>
      </c>
      <c r="O319" s="12" t="str">
        <f t="shared" si="69"/>
        <v/>
      </c>
      <c r="P319" s="12" t="str">
        <f t="shared" si="70"/>
        <v/>
      </c>
      <c r="Q319" s="12" t="e">
        <f t="shared" si="75"/>
        <v>#VALUE!</v>
      </c>
      <c r="R319" s="39" t="str">
        <f t="shared" si="72"/>
        <v/>
      </c>
      <c r="S319" s="39" t="str">
        <f t="shared" si="76"/>
        <v/>
      </c>
      <c r="V319" s="12" t="str">
        <f t="shared" si="61"/>
        <v/>
      </c>
      <c r="W319" s="22" t="str">
        <f t="shared" si="77"/>
        <v/>
      </c>
    </row>
    <row r="320" spans="7:23" x14ac:dyDescent="0.25">
      <c r="G320" s="12" t="str">
        <f t="shared" si="73"/>
        <v/>
      </c>
      <c r="H320" s="12" t="str">
        <f t="shared" si="62"/>
        <v/>
      </c>
      <c r="I320" s="12" t="str">
        <f t="shared" si="63"/>
        <v/>
      </c>
      <c r="J320" s="12" t="str">
        <f t="shared" si="64"/>
        <v/>
      </c>
      <c r="K320" s="12" t="str">
        <f t="shared" si="65"/>
        <v/>
      </c>
      <c r="L320" s="12" t="str">
        <f t="shared" si="66"/>
        <v/>
      </c>
      <c r="M320" s="12" t="str">
        <f t="shared" si="67"/>
        <v/>
      </c>
      <c r="N320" s="12" t="str">
        <f t="shared" si="68"/>
        <v/>
      </c>
      <c r="O320" s="12" t="str">
        <f t="shared" si="69"/>
        <v/>
      </c>
      <c r="P320" s="12" t="str">
        <f t="shared" si="70"/>
        <v/>
      </c>
      <c r="Q320" s="12" t="e">
        <f t="shared" si="75"/>
        <v>#VALUE!</v>
      </c>
      <c r="R320" s="39" t="str">
        <f t="shared" si="72"/>
        <v/>
      </c>
      <c r="S320" s="39" t="str">
        <f t="shared" si="76"/>
        <v/>
      </c>
      <c r="V320" s="12" t="str">
        <f t="shared" si="61"/>
        <v/>
      </c>
      <c r="W320" s="22" t="str">
        <f t="shared" si="77"/>
        <v/>
      </c>
    </row>
    <row r="321" spans="7:23" x14ac:dyDescent="0.25">
      <c r="G321" s="12" t="str">
        <f t="shared" si="73"/>
        <v/>
      </c>
      <c r="H321" s="12" t="str">
        <f t="shared" si="62"/>
        <v/>
      </c>
      <c r="I321" s="12" t="str">
        <f t="shared" si="63"/>
        <v/>
      </c>
      <c r="J321" s="12" t="str">
        <f t="shared" si="64"/>
        <v/>
      </c>
      <c r="K321" s="12" t="str">
        <f t="shared" si="65"/>
        <v/>
      </c>
      <c r="L321" s="12" t="str">
        <f t="shared" si="66"/>
        <v/>
      </c>
      <c r="M321" s="12" t="str">
        <f t="shared" si="67"/>
        <v/>
      </c>
      <c r="N321" s="12" t="str">
        <f t="shared" si="68"/>
        <v/>
      </c>
      <c r="O321" s="12" t="str">
        <f t="shared" si="69"/>
        <v/>
      </c>
      <c r="P321" s="12" t="str">
        <f t="shared" si="70"/>
        <v/>
      </c>
      <c r="Q321" s="12" t="e">
        <f t="shared" si="75"/>
        <v>#VALUE!</v>
      </c>
      <c r="R321" s="39" t="str">
        <f t="shared" si="72"/>
        <v/>
      </c>
      <c r="S321" s="39" t="str">
        <f t="shared" si="76"/>
        <v/>
      </c>
      <c r="V321" s="12" t="str">
        <f t="shared" si="61"/>
        <v/>
      </c>
      <c r="W321" s="22" t="str">
        <f t="shared" si="77"/>
        <v/>
      </c>
    </row>
    <row r="322" spans="7:23" x14ac:dyDescent="0.25">
      <c r="G322" s="12" t="str">
        <f t="shared" si="73"/>
        <v/>
      </c>
      <c r="H322" s="12" t="str">
        <f t="shared" si="62"/>
        <v/>
      </c>
      <c r="I322" s="12" t="str">
        <f t="shared" si="63"/>
        <v/>
      </c>
      <c r="J322" s="12" t="str">
        <f t="shared" si="64"/>
        <v/>
      </c>
      <c r="K322" s="12" t="str">
        <f t="shared" si="65"/>
        <v/>
      </c>
      <c r="L322" s="12" t="str">
        <f t="shared" si="66"/>
        <v/>
      </c>
      <c r="M322" s="12" t="str">
        <f t="shared" si="67"/>
        <v/>
      </c>
      <c r="N322" s="12" t="str">
        <f t="shared" si="68"/>
        <v/>
      </c>
      <c r="O322" s="12" t="str">
        <f t="shared" si="69"/>
        <v/>
      </c>
      <c r="P322" s="12" t="str">
        <f t="shared" si="70"/>
        <v/>
      </c>
      <c r="Q322" s="12" t="e">
        <f t="shared" si="75"/>
        <v>#VALUE!</v>
      </c>
      <c r="R322" s="39" t="str">
        <f t="shared" si="72"/>
        <v/>
      </c>
      <c r="S322" s="39" t="str">
        <f t="shared" si="76"/>
        <v/>
      </c>
      <c r="V322" s="12" t="str">
        <f t="shared" si="61"/>
        <v/>
      </c>
      <c r="W322" s="22" t="str">
        <f t="shared" si="77"/>
        <v/>
      </c>
    </row>
    <row r="323" spans="7:23" x14ac:dyDescent="0.25">
      <c r="G323" s="12" t="str">
        <f t="shared" si="73"/>
        <v/>
      </c>
      <c r="H323" s="12" t="str">
        <f t="shared" si="62"/>
        <v/>
      </c>
      <c r="I323" s="12" t="str">
        <f t="shared" si="63"/>
        <v/>
      </c>
      <c r="J323" s="12" t="str">
        <f t="shared" si="64"/>
        <v/>
      </c>
      <c r="K323" s="12" t="str">
        <f t="shared" si="65"/>
        <v/>
      </c>
      <c r="L323" s="12" t="str">
        <f t="shared" si="66"/>
        <v/>
      </c>
      <c r="M323" s="12" t="str">
        <f t="shared" si="67"/>
        <v/>
      </c>
      <c r="N323" s="12" t="str">
        <f t="shared" si="68"/>
        <v/>
      </c>
      <c r="O323" s="12" t="str">
        <f t="shared" si="69"/>
        <v/>
      </c>
      <c r="P323" s="12" t="str">
        <f t="shared" si="70"/>
        <v/>
      </c>
      <c r="Q323" s="12" t="e">
        <f t="shared" si="75"/>
        <v>#VALUE!</v>
      </c>
      <c r="R323" s="39" t="str">
        <f t="shared" si="72"/>
        <v/>
      </c>
      <c r="S323" s="39" t="str">
        <f t="shared" si="76"/>
        <v/>
      </c>
      <c r="V323" s="12" t="str">
        <f t="shared" si="61"/>
        <v/>
      </c>
      <c r="W323" s="22" t="str">
        <f t="shared" si="77"/>
        <v/>
      </c>
    </row>
    <row r="324" spans="7:23" x14ac:dyDescent="0.25">
      <c r="G324" s="12" t="str">
        <f t="shared" si="73"/>
        <v/>
      </c>
      <c r="H324" s="12" t="str">
        <f t="shared" si="62"/>
        <v/>
      </c>
      <c r="I324" s="12" t="str">
        <f t="shared" si="63"/>
        <v/>
      </c>
      <c r="J324" s="12" t="str">
        <f t="shared" si="64"/>
        <v/>
      </c>
      <c r="K324" s="12" t="str">
        <f t="shared" si="65"/>
        <v/>
      </c>
      <c r="L324" s="12" t="str">
        <f t="shared" si="66"/>
        <v/>
      </c>
      <c r="M324" s="12" t="str">
        <f t="shared" si="67"/>
        <v/>
      </c>
      <c r="N324" s="12" t="str">
        <f t="shared" si="68"/>
        <v/>
      </c>
      <c r="O324" s="12" t="str">
        <f t="shared" si="69"/>
        <v/>
      </c>
      <c r="P324" s="12" t="str">
        <f t="shared" si="70"/>
        <v/>
      </c>
      <c r="Q324" s="12" t="e">
        <f t="shared" si="75"/>
        <v>#VALUE!</v>
      </c>
      <c r="R324" s="39" t="str">
        <f t="shared" si="72"/>
        <v/>
      </c>
      <c r="S324" s="39" t="str">
        <f t="shared" si="76"/>
        <v/>
      </c>
      <c r="V324" s="12" t="str">
        <f t="shared" si="61"/>
        <v/>
      </c>
      <c r="W324" s="22" t="str">
        <f t="shared" si="77"/>
        <v/>
      </c>
    </row>
    <row r="325" spans="7:23" x14ac:dyDescent="0.25">
      <c r="G325" s="12" t="str">
        <f t="shared" si="73"/>
        <v/>
      </c>
      <c r="H325" s="12" t="str">
        <f t="shared" si="62"/>
        <v/>
      </c>
      <c r="I325" s="12" t="str">
        <f t="shared" si="63"/>
        <v/>
      </c>
      <c r="J325" s="12" t="str">
        <f t="shared" si="64"/>
        <v/>
      </c>
      <c r="K325" s="12" t="str">
        <f t="shared" si="65"/>
        <v/>
      </c>
      <c r="L325" s="12" t="str">
        <f t="shared" si="66"/>
        <v/>
      </c>
      <c r="M325" s="12" t="str">
        <f t="shared" si="67"/>
        <v/>
      </c>
      <c r="N325" s="12" t="str">
        <f t="shared" si="68"/>
        <v/>
      </c>
      <c r="O325" s="12" t="str">
        <f t="shared" si="69"/>
        <v/>
      </c>
      <c r="P325" s="12" t="str">
        <f t="shared" si="70"/>
        <v/>
      </c>
      <c r="Q325" s="12" t="e">
        <f t="shared" si="75"/>
        <v>#VALUE!</v>
      </c>
      <c r="R325" s="39" t="str">
        <f t="shared" si="72"/>
        <v/>
      </c>
      <c r="S325" s="39" t="str">
        <f t="shared" si="76"/>
        <v/>
      </c>
      <c r="V325" s="12" t="str">
        <f t="shared" si="61"/>
        <v/>
      </c>
      <c r="W325" s="22" t="str">
        <f t="shared" si="77"/>
        <v/>
      </c>
    </row>
    <row r="326" spans="7:23" x14ac:dyDescent="0.25">
      <c r="G326" s="12" t="str">
        <f t="shared" si="73"/>
        <v/>
      </c>
      <c r="H326" s="12" t="str">
        <f t="shared" si="62"/>
        <v/>
      </c>
      <c r="I326" s="12" t="str">
        <f t="shared" si="63"/>
        <v/>
      </c>
      <c r="J326" s="12" t="str">
        <f t="shared" si="64"/>
        <v/>
      </c>
      <c r="K326" s="12" t="str">
        <f t="shared" si="65"/>
        <v/>
      </c>
      <c r="L326" s="12" t="str">
        <f t="shared" si="66"/>
        <v/>
      </c>
      <c r="M326" s="12" t="str">
        <f t="shared" si="67"/>
        <v/>
      </c>
      <c r="N326" s="12" t="str">
        <f t="shared" si="68"/>
        <v/>
      </c>
      <c r="O326" s="12" t="str">
        <f t="shared" si="69"/>
        <v/>
      </c>
      <c r="P326" s="12" t="str">
        <f t="shared" si="70"/>
        <v/>
      </c>
      <c r="Q326" s="12" t="e">
        <f t="shared" si="75"/>
        <v>#VALUE!</v>
      </c>
      <c r="R326" s="39" t="str">
        <f t="shared" si="72"/>
        <v/>
      </c>
      <c r="S326" s="39" t="str">
        <f t="shared" si="76"/>
        <v/>
      </c>
      <c r="V326" s="12" t="str">
        <f t="shared" si="61"/>
        <v/>
      </c>
      <c r="W326" s="22" t="str">
        <f t="shared" si="77"/>
        <v/>
      </c>
    </row>
    <row r="327" spans="7:23" x14ac:dyDescent="0.25">
      <c r="G327" s="12" t="str">
        <f t="shared" si="73"/>
        <v/>
      </c>
      <c r="H327" s="12" t="str">
        <f t="shared" si="62"/>
        <v/>
      </c>
      <c r="I327" s="12" t="str">
        <f t="shared" si="63"/>
        <v/>
      </c>
      <c r="J327" s="12" t="str">
        <f t="shared" si="64"/>
        <v/>
      </c>
      <c r="K327" s="12" t="str">
        <f t="shared" si="65"/>
        <v/>
      </c>
      <c r="L327" s="12" t="str">
        <f t="shared" si="66"/>
        <v/>
      </c>
      <c r="M327" s="12" t="str">
        <f t="shared" si="67"/>
        <v/>
      </c>
      <c r="N327" s="12" t="str">
        <f t="shared" si="68"/>
        <v/>
      </c>
      <c r="O327" s="12" t="str">
        <f t="shared" si="69"/>
        <v/>
      </c>
      <c r="P327" s="12" t="str">
        <f t="shared" si="70"/>
        <v/>
      </c>
      <c r="Q327" s="12" t="e">
        <f t="shared" si="75"/>
        <v>#VALUE!</v>
      </c>
      <c r="R327" s="39" t="str">
        <f t="shared" si="72"/>
        <v/>
      </c>
      <c r="S327" s="39" t="str">
        <f t="shared" si="76"/>
        <v/>
      </c>
      <c r="V327" s="12" t="str">
        <f t="shared" si="61"/>
        <v/>
      </c>
      <c r="W327" s="22" t="str">
        <f t="shared" si="77"/>
        <v/>
      </c>
    </row>
    <row r="328" spans="7:23" x14ac:dyDescent="0.25">
      <c r="G328" s="12" t="str">
        <f t="shared" si="73"/>
        <v/>
      </c>
      <c r="H328" s="12" t="str">
        <f t="shared" si="62"/>
        <v/>
      </c>
      <c r="I328" s="12" t="str">
        <f t="shared" si="63"/>
        <v/>
      </c>
      <c r="J328" s="12" t="str">
        <f t="shared" si="64"/>
        <v/>
      </c>
      <c r="K328" s="12" t="str">
        <f t="shared" si="65"/>
        <v/>
      </c>
      <c r="L328" s="12" t="str">
        <f t="shared" si="66"/>
        <v/>
      </c>
      <c r="M328" s="12" t="str">
        <f t="shared" si="67"/>
        <v/>
      </c>
      <c r="N328" s="12" t="str">
        <f t="shared" si="68"/>
        <v/>
      </c>
      <c r="O328" s="12" t="str">
        <f t="shared" si="69"/>
        <v/>
      </c>
      <c r="P328" s="12" t="str">
        <f t="shared" si="70"/>
        <v/>
      </c>
      <c r="Q328" s="12" t="e">
        <f t="shared" si="75"/>
        <v>#VALUE!</v>
      </c>
      <c r="R328" s="39" t="str">
        <f t="shared" si="72"/>
        <v/>
      </c>
      <c r="S328" s="39" t="str">
        <f t="shared" si="76"/>
        <v/>
      </c>
      <c r="V328" s="12" t="str">
        <f t="shared" si="61"/>
        <v/>
      </c>
      <c r="W328" s="22" t="str">
        <f t="shared" si="77"/>
        <v/>
      </c>
    </row>
    <row r="329" spans="7:23" x14ac:dyDescent="0.25">
      <c r="G329" s="12" t="str">
        <f t="shared" si="73"/>
        <v/>
      </c>
      <c r="H329" s="12" t="str">
        <f t="shared" si="62"/>
        <v/>
      </c>
      <c r="I329" s="12" t="str">
        <f t="shared" si="63"/>
        <v/>
      </c>
      <c r="J329" s="12" t="str">
        <f t="shared" si="64"/>
        <v/>
      </c>
      <c r="K329" s="12" t="str">
        <f t="shared" si="65"/>
        <v/>
      </c>
      <c r="L329" s="12" t="str">
        <f t="shared" si="66"/>
        <v/>
      </c>
      <c r="M329" s="12" t="str">
        <f t="shared" si="67"/>
        <v/>
      </c>
      <c r="N329" s="12" t="str">
        <f t="shared" si="68"/>
        <v/>
      </c>
      <c r="O329" s="12" t="str">
        <f t="shared" si="69"/>
        <v/>
      </c>
      <c r="P329" s="12" t="str">
        <f t="shared" si="70"/>
        <v/>
      </c>
      <c r="Q329" s="12" t="e">
        <f t="shared" si="75"/>
        <v>#VALUE!</v>
      </c>
      <c r="R329" s="39" t="str">
        <f t="shared" si="72"/>
        <v/>
      </c>
      <c r="S329" s="39" t="str">
        <f t="shared" si="76"/>
        <v/>
      </c>
      <c r="V329" s="12" t="str">
        <f t="shared" si="61"/>
        <v/>
      </c>
      <c r="W329" s="22" t="str">
        <f t="shared" si="77"/>
        <v/>
      </c>
    </row>
    <row r="330" spans="7:23" x14ac:dyDescent="0.25">
      <c r="G330" s="12" t="str">
        <f t="shared" si="73"/>
        <v/>
      </c>
      <c r="H330" s="12" t="str">
        <f t="shared" si="62"/>
        <v/>
      </c>
      <c r="I330" s="12" t="str">
        <f t="shared" si="63"/>
        <v/>
      </c>
      <c r="J330" s="12" t="str">
        <f t="shared" si="64"/>
        <v/>
      </c>
      <c r="K330" s="12" t="str">
        <f t="shared" si="65"/>
        <v/>
      </c>
      <c r="L330" s="12" t="str">
        <f t="shared" si="66"/>
        <v/>
      </c>
      <c r="M330" s="12" t="str">
        <f t="shared" si="67"/>
        <v/>
      </c>
      <c r="N330" s="12" t="str">
        <f t="shared" si="68"/>
        <v/>
      </c>
      <c r="O330" s="12" t="str">
        <f t="shared" si="69"/>
        <v/>
      </c>
      <c r="P330" s="12" t="str">
        <f t="shared" si="70"/>
        <v/>
      </c>
      <c r="Q330" s="12" t="e">
        <f t="shared" si="75"/>
        <v>#VALUE!</v>
      </c>
      <c r="R330" s="39" t="str">
        <f t="shared" si="72"/>
        <v/>
      </c>
      <c r="S330" s="39" t="str">
        <f t="shared" si="76"/>
        <v/>
      </c>
      <c r="V330" s="12" t="str">
        <f t="shared" si="61"/>
        <v/>
      </c>
      <c r="W330" s="22" t="str">
        <f t="shared" si="77"/>
        <v/>
      </c>
    </row>
    <row r="331" spans="7:23" x14ac:dyDescent="0.25">
      <c r="G331" s="12" t="str">
        <f t="shared" si="73"/>
        <v/>
      </c>
      <c r="H331" s="12" t="str">
        <f t="shared" si="62"/>
        <v/>
      </c>
      <c r="I331" s="12" t="str">
        <f t="shared" si="63"/>
        <v/>
      </c>
      <c r="J331" s="12" t="str">
        <f t="shared" si="64"/>
        <v/>
      </c>
      <c r="K331" s="12" t="str">
        <f t="shared" si="65"/>
        <v/>
      </c>
      <c r="L331" s="12" t="str">
        <f t="shared" si="66"/>
        <v/>
      </c>
      <c r="M331" s="12" t="str">
        <f t="shared" si="67"/>
        <v/>
      </c>
      <c r="N331" s="12" t="str">
        <f t="shared" si="68"/>
        <v/>
      </c>
      <c r="O331" s="12" t="str">
        <f t="shared" si="69"/>
        <v/>
      </c>
      <c r="P331" s="12" t="str">
        <f t="shared" si="70"/>
        <v/>
      </c>
      <c r="Q331" s="12" t="e">
        <f t="shared" si="75"/>
        <v>#VALUE!</v>
      </c>
      <c r="R331" s="39" t="str">
        <f t="shared" si="72"/>
        <v/>
      </c>
      <c r="S331" s="39" t="str">
        <f t="shared" si="76"/>
        <v/>
      </c>
      <c r="V331" s="12" t="str">
        <f t="shared" si="61"/>
        <v/>
      </c>
      <c r="W331" s="22" t="str">
        <f t="shared" si="77"/>
        <v/>
      </c>
    </row>
    <row r="332" spans="7:23" x14ac:dyDescent="0.25">
      <c r="G332" s="12" t="str">
        <f t="shared" si="73"/>
        <v/>
      </c>
      <c r="H332" s="12" t="str">
        <f t="shared" si="62"/>
        <v/>
      </c>
      <c r="I332" s="12" t="str">
        <f t="shared" si="63"/>
        <v/>
      </c>
      <c r="J332" s="12" t="str">
        <f t="shared" si="64"/>
        <v/>
      </c>
      <c r="K332" s="12" t="str">
        <f t="shared" si="65"/>
        <v/>
      </c>
      <c r="L332" s="12" t="str">
        <f t="shared" si="66"/>
        <v/>
      </c>
      <c r="M332" s="12" t="str">
        <f t="shared" si="67"/>
        <v/>
      </c>
      <c r="N332" s="12" t="str">
        <f t="shared" si="68"/>
        <v/>
      </c>
      <c r="O332" s="12" t="str">
        <f t="shared" si="69"/>
        <v/>
      </c>
      <c r="P332" s="12" t="str">
        <f t="shared" si="70"/>
        <v/>
      </c>
      <c r="Q332" s="12" t="e">
        <f t="shared" si="75"/>
        <v>#VALUE!</v>
      </c>
      <c r="R332" s="39" t="str">
        <f t="shared" si="72"/>
        <v/>
      </c>
      <c r="S332" s="39" t="str">
        <f t="shared" si="76"/>
        <v/>
      </c>
      <c r="V332" s="12" t="str">
        <f t="shared" si="61"/>
        <v/>
      </c>
      <c r="W332" s="22" t="str">
        <f t="shared" si="77"/>
        <v/>
      </c>
    </row>
    <row r="333" spans="7:23" x14ac:dyDescent="0.25">
      <c r="G333" s="12" t="str">
        <f t="shared" si="73"/>
        <v/>
      </c>
      <c r="H333" s="12" t="str">
        <f t="shared" si="62"/>
        <v/>
      </c>
      <c r="I333" s="12" t="str">
        <f t="shared" si="63"/>
        <v/>
      </c>
      <c r="J333" s="12" t="str">
        <f t="shared" si="64"/>
        <v/>
      </c>
      <c r="K333" s="12" t="str">
        <f t="shared" si="65"/>
        <v/>
      </c>
      <c r="L333" s="12" t="str">
        <f t="shared" si="66"/>
        <v/>
      </c>
      <c r="M333" s="12" t="str">
        <f t="shared" si="67"/>
        <v/>
      </c>
      <c r="N333" s="12" t="str">
        <f t="shared" si="68"/>
        <v/>
      </c>
      <c r="O333" s="12" t="str">
        <f t="shared" si="69"/>
        <v/>
      </c>
      <c r="P333" s="12" t="str">
        <f t="shared" si="70"/>
        <v/>
      </c>
      <c r="Q333" s="12" t="e">
        <f t="shared" si="75"/>
        <v>#VALUE!</v>
      </c>
      <c r="R333" s="39" t="str">
        <f t="shared" si="72"/>
        <v/>
      </c>
      <c r="S333" s="39" t="str">
        <f t="shared" si="76"/>
        <v/>
      </c>
      <c r="V333" s="12" t="str">
        <f t="shared" si="61"/>
        <v/>
      </c>
      <c r="W333" s="22" t="str">
        <f t="shared" si="77"/>
        <v/>
      </c>
    </row>
    <row r="334" spans="7:23" x14ac:dyDescent="0.25">
      <c r="G334" s="12" t="str">
        <f t="shared" si="73"/>
        <v/>
      </c>
      <c r="H334" s="12" t="str">
        <f t="shared" si="62"/>
        <v/>
      </c>
      <c r="I334" s="12" t="str">
        <f t="shared" si="63"/>
        <v/>
      </c>
      <c r="J334" s="12" t="str">
        <f t="shared" si="64"/>
        <v/>
      </c>
      <c r="K334" s="12" t="str">
        <f t="shared" si="65"/>
        <v/>
      </c>
      <c r="L334" s="12" t="str">
        <f t="shared" si="66"/>
        <v/>
      </c>
      <c r="M334" s="12" t="str">
        <f t="shared" si="67"/>
        <v/>
      </c>
      <c r="N334" s="12" t="str">
        <f t="shared" si="68"/>
        <v/>
      </c>
      <c r="O334" s="12" t="str">
        <f t="shared" si="69"/>
        <v/>
      </c>
      <c r="P334" s="12" t="str">
        <f t="shared" si="70"/>
        <v/>
      </c>
      <c r="Q334" s="12" t="e">
        <f t="shared" si="75"/>
        <v>#VALUE!</v>
      </c>
      <c r="R334" s="39" t="str">
        <f t="shared" si="72"/>
        <v/>
      </c>
      <c r="S334" s="39" t="str">
        <f t="shared" si="76"/>
        <v/>
      </c>
      <c r="V334" s="12" t="str">
        <f t="shared" si="61"/>
        <v/>
      </c>
      <c r="W334" s="22" t="str">
        <f t="shared" si="77"/>
        <v/>
      </c>
    </row>
    <row r="335" spans="7:23" x14ac:dyDescent="0.25">
      <c r="G335" s="12" t="str">
        <f t="shared" si="73"/>
        <v/>
      </c>
      <c r="H335" s="12" t="str">
        <f t="shared" si="62"/>
        <v/>
      </c>
      <c r="I335" s="12" t="str">
        <f t="shared" si="63"/>
        <v/>
      </c>
      <c r="J335" s="12" t="str">
        <f t="shared" si="64"/>
        <v/>
      </c>
      <c r="K335" s="12" t="str">
        <f t="shared" si="65"/>
        <v/>
      </c>
      <c r="L335" s="12" t="str">
        <f t="shared" si="66"/>
        <v/>
      </c>
      <c r="M335" s="12" t="str">
        <f t="shared" si="67"/>
        <v/>
      </c>
      <c r="N335" s="12" t="str">
        <f t="shared" si="68"/>
        <v/>
      </c>
      <c r="O335" s="12" t="str">
        <f t="shared" si="69"/>
        <v/>
      </c>
      <c r="P335" s="12" t="str">
        <f t="shared" si="70"/>
        <v/>
      </c>
      <c r="Q335" s="12" t="e">
        <f t="shared" si="75"/>
        <v>#VALUE!</v>
      </c>
      <c r="R335" s="39" t="str">
        <f t="shared" si="72"/>
        <v/>
      </c>
      <c r="S335" s="39" t="str">
        <f t="shared" si="76"/>
        <v/>
      </c>
      <c r="V335" s="12" t="str">
        <f t="shared" si="61"/>
        <v/>
      </c>
      <c r="W335" s="22" t="str">
        <f t="shared" si="77"/>
        <v/>
      </c>
    </row>
    <row r="336" spans="7:23" x14ac:dyDescent="0.25">
      <c r="G336" s="12" t="str">
        <f t="shared" si="73"/>
        <v/>
      </c>
      <c r="H336" s="12" t="str">
        <f t="shared" si="62"/>
        <v/>
      </c>
      <c r="I336" s="12" t="str">
        <f t="shared" si="63"/>
        <v/>
      </c>
      <c r="J336" s="12" t="str">
        <f t="shared" si="64"/>
        <v/>
      </c>
      <c r="K336" s="12" t="str">
        <f t="shared" si="65"/>
        <v/>
      </c>
      <c r="L336" s="12" t="str">
        <f t="shared" si="66"/>
        <v/>
      </c>
      <c r="M336" s="12" t="str">
        <f t="shared" si="67"/>
        <v/>
      </c>
      <c r="N336" s="12" t="str">
        <f t="shared" si="68"/>
        <v/>
      </c>
      <c r="O336" s="12" t="str">
        <f t="shared" si="69"/>
        <v/>
      </c>
      <c r="P336" s="12" t="str">
        <f t="shared" si="70"/>
        <v/>
      </c>
      <c r="Q336" s="12" t="e">
        <f t="shared" si="75"/>
        <v>#VALUE!</v>
      </c>
      <c r="R336" s="39" t="str">
        <f t="shared" si="72"/>
        <v/>
      </c>
      <c r="S336" s="39" t="str">
        <f t="shared" si="76"/>
        <v/>
      </c>
      <c r="V336" s="12" t="str">
        <f t="shared" si="61"/>
        <v/>
      </c>
      <c r="W336" s="22" t="str">
        <f t="shared" si="77"/>
        <v/>
      </c>
    </row>
    <row r="337" spans="7:23" x14ac:dyDescent="0.25">
      <c r="G337" s="12" t="str">
        <f t="shared" si="73"/>
        <v/>
      </c>
      <c r="H337" s="12" t="str">
        <f t="shared" si="62"/>
        <v/>
      </c>
      <c r="I337" s="12" t="str">
        <f t="shared" si="63"/>
        <v/>
      </c>
      <c r="J337" s="12" t="str">
        <f t="shared" si="64"/>
        <v/>
      </c>
      <c r="K337" s="12" t="str">
        <f t="shared" si="65"/>
        <v/>
      </c>
      <c r="L337" s="12" t="str">
        <f t="shared" si="66"/>
        <v/>
      </c>
      <c r="M337" s="12" t="str">
        <f t="shared" si="67"/>
        <v/>
      </c>
      <c r="N337" s="12" t="str">
        <f t="shared" si="68"/>
        <v/>
      </c>
      <c r="O337" s="12" t="str">
        <f t="shared" si="69"/>
        <v/>
      </c>
      <c r="P337" s="12" t="str">
        <f t="shared" si="70"/>
        <v/>
      </c>
      <c r="Q337" s="12" t="e">
        <f t="shared" si="75"/>
        <v>#VALUE!</v>
      </c>
      <c r="R337" s="39" t="str">
        <f t="shared" si="72"/>
        <v/>
      </c>
      <c r="S337" s="39" t="str">
        <f t="shared" si="76"/>
        <v/>
      </c>
      <c r="V337" s="12" t="str">
        <f t="shared" ref="V337:V400" si="78">H337</f>
        <v/>
      </c>
      <c r="W337" s="22" t="str">
        <f t="shared" si="77"/>
        <v/>
      </c>
    </row>
    <row r="338" spans="7:23" x14ac:dyDescent="0.25">
      <c r="G338" s="12" t="str">
        <f t="shared" si="73"/>
        <v/>
      </c>
      <c r="H338" s="12" t="str">
        <f t="shared" ref="H338:H401" si="79">IFERROR(IF(E338=1,Q338,""),"")</f>
        <v/>
      </c>
      <c r="I338" s="12" t="str">
        <f t="shared" ref="I338:I401" si="80">IFERROR(IF(E338=2,Q338,""),"")</f>
        <v/>
      </c>
      <c r="J338" s="12" t="str">
        <f t="shared" ref="J338:J401" si="81">IFERROR(IF(E338=3,Q338,""),"")</f>
        <v/>
      </c>
      <c r="K338" s="12" t="str">
        <f t="shared" ref="K338:K401" si="82">IFERROR(IF(E338=4,Q338,""),"")</f>
        <v/>
      </c>
      <c r="L338" s="12" t="str">
        <f t="shared" ref="L338:L401" si="83">IFERROR(IF(E338=5,Q338,""),"")</f>
        <v/>
      </c>
      <c r="M338" s="12" t="str">
        <f t="shared" ref="M338:M401" si="84">IFERROR(IF(E338=6,Q338,""),"")</f>
        <v/>
      </c>
      <c r="N338" s="12" t="str">
        <f t="shared" ref="N338:N401" si="85">IFERROR(IF(E338=7,Q338,""),"")</f>
        <v/>
      </c>
      <c r="O338" s="12" t="str">
        <f t="shared" ref="O338:O401" si="86">IFERROR(IF(E338=8,Q338,""),"")</f>
        <v/>
      </c>
      <c r="P338" s="12" t="str">
        <f t="shared" ref="P338:P401" si="87">IFERROR(IF(E338=9,Q338,""),"")</f>
        <v/>
      </c>
      <c r="Q338" s="12" t="e">
        <f t="shared" si="75"/>
        <v>#VALUE!</v>
      </c>
      <c r="R338" s="39" t="str">
        <f t="shared" si="72"/>
        <v/>
      </c>
      <c r="S338" s="39" t="str">
        <f t="shared" si="76"/>
        <v/>
      </c>
      <c r="V338" s="12" t="str">
        <f t="shared" si="78"/>
        <v/>
      </c>
      <c r="W338" s="22" t="str">
        <f t="shared" si="77"/>
        <v/>
      </c>
    </row>
    <row r="339" spans="7:23" x14ac:dyDescent="0.25">
      <c r="G339" s="12" t="str">
        <f t="shared" si="73"/>
        <v/>
      </c>
      <c r="H339" s="12" t="str">
        <f t="shared" si="79"/>
        <v/>
      </c>
      <c r="I339" s="12" t="str">
        <f t="shared" si="80"/>
        <v/>
      </c>
      <c r="J339" s="12" t="str">
        <f t="shared" si="81"/>
        <v/>
      </c>
      <c r="K339" s="12" t="str">
        <f t="shared" si="82"/>
        <v/>
      </c>
      <c r="L339" s="12" t="str">
        <f t="shared" si="83"/>
        <v/>
      </c>
      <c r="M339" s="12" t="str">
        <f t="shared" si="84"/>
        <v/>
      </c>
      <c r="N339" s="12" t="str">
        <f t="shared" si="85"/>
        <v/>
      </c>
      <c r="O339" s="12" t="str">
        <f t="shared" si="86"/>
        <v/>
      </c>
      <c r="P339" s="12" t="str">
        <f t="shared" si="87"/>
        <v/>
      </c>
      <c r="Q339" s="12" t="e">
        <f t="shared" si="75"/>
        <v>#VALUE!</v>
      </c>
      <c r="R339" s="39" t="str">
        <f t="shared" si="72"/>
        <v/>
      </c>
      <c r="S339" s="39" t="str">
        <f t="shared" si="76"/>
        <v/>
      </c>
      <c r="V339" s="12" t="str">
        <f t="shared" si="78"/>
        <v/>
      </c>
      <c r="W339" s="22" t="str">
        <f t="shared" si="77"/>
        <v/>
      </c>
    </row>
    <row r="340" spans="7:23" x14ac:dyDescent="0.25">
      <c r="G340" s="12" t="str">
        <f t="shared" si="73"/>
        <v/>
      </c>
      <c r="H340" s="12" t="str">
        <f t="shared" si="79"/>
        <v/>
      </c>
      <c r="I340" s="12" t="str">
        <f t="shared" si="80"/>
        <v/>
      </c>
      <c r="J340" s="12" t="str">
        <f t="shared" si="81"/>
        <v/>
      </c>
      <c r="K340" s="12" t="str">
        <f t="shared" si="82"/>
        <v/>
      </c>
      <c r="L340" s="12" t="str">
        <f t="shared" si="83"/>
        <v/>
      </c>
      <c r="M340" s="12" t="str">
        <f t="shared" si="84"/>
        <v/>
      </c>
      <c r="N340" s="12" t="str">
        <f t="shared" si="85"/>
        <v/>
      </c>
      <c r="O340" s="12" t="str">
        <f t="shared" si="86"/>
        <v/>
      </c>
      <c r="P340" s="12" t="str">
        <f t="shared" si="87"/>
        <v/>
      </c>
      <c r="Q340" s="12" t="e">
        <f t="shared" si="75"/>
        <v>#VALUE!</v>
      </c>
      <c r="R340" s="39" t="str">
        <f t="shared" ref="R340:R403" si="88">IF(H340="","",HOUR(H340)*60+MINUTE(H340)+SECOND(H340)/60)</f>
        <v/>
      </c>
      <c r="S340" s="39" t="str">
        <f t="shared" si="76"/>
        <v/>
      </c>
      <c r="V340" s="12" t="str">
        <f t="shared" si="78"/>
        <v/>
      </c>
      <c r="W340" s="22" t="str">
        <f t="shared" si="77"/>
        <v/>
      </c>
    </row>
    <row r="341" spans="7:23" x14ac:dyDescent="0.25">
      <c r="G341" s="12" t="str">
        <f t="shared" si="73"/>
        <v/>
      </c>
      <c r="H341" s="12" t="str">
        <f t="shared" si="79"/>
        <v/>
      </c>
      <c r="I341" s="12" t="str">
        <f t="shared" si="80"/>
        <v/>
      </c>
      <c r="J341" s="12" t="str">
        <f t="shared" si="81"/>
        <v/>
      </c>
      <c r="K341" s="12" t="str">
        <f t="shared" si="82"/>
        <v/>
      </c>
      <c r="L341" s="12" t="str">
        <f t="shared" si="83"/>
        <v/>
      </c>
      <c r="M341" s="12" t="str">
        <f t="shared" si="84"/>
        <v/>
      </c>
      <c r="N341" s="12" t="str">
        <f t="shared" si="85"/>
        <v/>
      </c>
      <c r="O341" s="12" t="str">
        <f t="shared" si="86"/>
        <v/>
      </c>
      <c r="P341" s="12" t="str">
        <f t="shared" si="87"/>
        <v/>
      </c>
      <c r="Q341" s="12" t="e">
        <f t="shared" si="75"/>
        <v>#VALUE!</v>
      </c>
      <c r="R341" s="39" t="str">
        <f t="shared" si="88"/>
        <v/>
      </c>
      <c r="S341" s="39" t="str">
        <f t="shared" si="76"/>
        <v/>
      </c>
      <c r="V341" s="12" t="str">
        <f t="shared" si="78"/>
        <v/>
      </c>
      <c r="W341" s="22" t="str">
        <f t="shared" si="77"/>
        <v/>
      </c>
    </row>
    <row r="342" spans="7:23" x14ac:dyDescent="0.25">
      <c r="G342" s="12" t="str">
        <f t="shared" ref="G342:G405" si="89">IF(LEN(F342)=5,TIMEVALUE(LEFT(F342,1)&amp;":"&amp;MID(F342,2,2)&amp;":"&amp;RIGHT(F342,2)),IF(LEN(F342)=6,TIMEVALUE(LEFT(F342,2)&amp;":"&amp;MID(F342,3,2)&amp;":"&amp;RIGHT(F342,2)),""))</f>
        <v/>
      </c>
      <c r="H342" s="12" t="str">
        <f t="shared" si="79"/>
        <v/>
      </c>
      <c r="I342" s="12" t="str">
        <f t="shared" si="80"/>
        <v/>
      </c>
      <c r="J342" s="12" t="str">
        <f t="shared" si="81"/>
        <v/>
      </c>
      <c r="K342" s="12" t="str">
        <f t="shared" si="82"/>
        <v/>
      </c>
      <c r="L342" s="12" t="str">
        <f t="shared" si="83"/>
        <v/>
      </c>
      <c r="M342" s="12" t="str">
        <f t="shared" si="84"/>
        <v/>
      </c>
      <c r="N342" s="12" t="str">
        <f t="shared" si="85"/>
        <v/>
      </c>
      <c r="O342" s="12" t="str">
        <f t="shared" si="86"/>
        <v/>
      </c>
      <c r="P342" s="12" t="str">
        <f t="shared" si="87"/>
        <v/>
      </c>
      <c r="Q342" s="12" t="e">
        <f t="shared" si="75"/>
        <v>#VALUE!</v>
      </c>
      <c r="R342" s="39" t="str">
        <f t="shared" si="88"/>
        <v/>
      </c>
      <c r="S342" s="39" t="str">
        <f t="shared" si="76"/>
        <v/>
      </c>
      <c r="V342" s="12" t="str">
        <f t="shared" si="78"/>
        <v/>
      </c>
      <c r="W342" s="22" t="str">
        <f t="shared" si="77"/>
        <v/>
      </c>
    </row>
    <row r="343" spans="7:23" x14ac:dyDescent="0.25">
      <c r="G343" s="12" t="str">
        <f t="shared" si="89"/>
        <v/>
      </c>
      <c r="H343" s="12" t="str">
        <f t="shared" si="79"/>
        <v/>
      </c>
      <c r="I343" s="12" t="str">
        <f t="shared" si="80"/>
        <v/>
      </c>
      <c r="J343" s="12" t="str">
        <f t="shared" si="81"/>
        <v/>
      </c>
      <c r="K343" s="12" t="str">
        <f t="shared" si="82"/>
        <v/>
      </c>
      <c r="L343" s="12" t="str">
        <f t="shared" si="83"/>
        <v/>
      </c>
      <c r="M343" s="12" t="str">
        <f t="shared" si="84"/>
        <v/>
      </c>
      <c r="N343" s="12" t="str">
        <f t="shared" si="85"/>
        <v/>
      </c>
      <c r="O343" s="12" t="str">
        <f t="shared" si="86"/>
        <v/>
      </c>
      <c r="P343" s="12" t="str">
        <f t="shared" si="87"/>
        <v/>
      </c>
      <c r="Q343" s="12" t="e">
        <f t="shared" si="75"/>
        <v>#VALUE!</v>
      </c>
      <c r="R343" s="39" t="str">
        <f t="shared" si="88"/>
        <v/>
      </c>
      <c r="S343" s="39" t="str">
        <f t="shared" si="76"/>
        <v/>
      </c>
      <c r="V343" s="12" t="str">
        <f t="shared" si="78"/>
        <v/>
      </c>
      <c r="W343" s="22" t="str">
        <f t="shared" si="77"/>
        <v/>
      </c>
    </row>
    <row r="344" spans="7:23" x14ac:dyDescent="0.25">
      <c r="G344" s="12" t="str">
        <f t="shared" si="89"/>
        <v/>
      </c>
      <c r="H344" s="12" t="str">
        <f t="shared" si="79"/>
        <v/>
      </c>
      <c r="I344" s="12" t="str">
        <f t="shared" si="80"/>
        <v/>
      </c>
      <c r="J344" s="12" t="str">
        <f t="shared" si="81"/>
        <v/>
      </c>
      <c r="K344" s="12" t="str">
        <f t="shared" si="82"/>
        <v/>
      </c>
      <c r="L344" s="12" t="str">
        <f t="shared" si="83"/>
        <v/>
      </c>
      <c r="M344" s="12" t="str">
        <f t="shared" si="84"/>
        <v/>
      </c>
      <c r="N344" s="12" t="str">
        <f t="shared" si="85"/>
        <v/>
      </c>
      <c r="O344" s="12" t="str">
        <f t="shared" si="86"/>
        <v/>
      </c>
      <c r="P344" s="12" t="str">
        <f t="shared" si="87"/>
        <v/>
      </c>
      <c r="Q344" s="12" t="e">
        <f t="shared" si="75"/>
        <v>#VALUE!</v>
      </c>
      <c r="R344" s="39" t="str">
        <f t="shared" si="88"/>
        <v/>
      </c>
      <c r="S344" s="39" t="str">
        <f t="shared" si="76"/>
        <v/>
      </c>
      <c r="V344" s="12" t="str">
        <f t="shared" si="78"/>
        <v/>
      </c>
      <c r="W344" s="22" t="str">
        <f t="shared" si="77"/>
        <v/>
      </c>
    </row>
    <row r="345" spans="7:23" x14ac:dyDescent="0.25">
      <c r="G345" s="12" t="str">
        <f t="shared" si="89"/>
        <v/>
      </c>
      <c r="H345" s="12" t="str">
        <f t="shared" si="79"/>
        <v/>
      </c>
      <c r="I345" s="12" t="str">
        <f t="shared" si="80"/>
        <v/>
      </c>
      <c r="J345" s="12" t="str">
        <f t="shared" si="81"/>
        <v/>
      </c>
      <c r="K345" s="12" t="str">
        <f t="shared" si="82"/>
        <v/>
      </c>
      <c r="L345" s="12" t="str">
        <f t="shared" si="83"/>
        <v/>
      </c>
      <c r="M345" s="12" t="str">
        <f t="shared" si="84"/>
        <v/>
      </c>
      <c r="N345" s="12" t="str">
        <f t="shared" si="85"/>
        <v/>
      </c>
      <c r="O345" s="12" t="str">
        <f t="shared" si="86"/>
        <v/>
      </c>
      <c r="P345" s="12" t="str">
        <f t="shared" si="87"/>
        <v/>
      </c>
      <c r="Q345" s="12" t="e">
        <f t="shared" si="75"/>
        <v>#VALUE!</v>
      </c>
      <c r="R345" s="39" t="str">
        <f t="shared" si="88"/>
        <v/>
      </c>
      <c r="S345" s="39" t="str">
        <f t="shared" si="76"/>
        <v/>
      </c>
      <c r="V345" s="12" t="str">
        <f t="shared" si="78"/>
        <v/>
      </c>
      <c r="W345" s="22" t="str">
        <f t="shared" si="77"/>
        <v/>
      </c>
    </row>
    <row r="346" spans="7:23" x14ac:dyDescent="0.25">
      <c r="G346" s="12" t="str">
        <f t="shared" si="89"/>
        <v/>
      </c>
      <c r="H346" s="12" t="str">
        <f t="shared" si="79"/>
        <v/>
      </c>
      <c r="I346" s="12" t="str">
        <f t="shared" si="80"/>
        <v/>
      </c>
      <c r="J346" s="12" t="str">
        <f t="shared" si="81"/>
        <v/>
      </c>
      <c r="K346" s="12" t="str">
        <f t="shared" si="82"/>
        <v/>
      </c>
      <c r="L346" s="12" t="str">
        <f t="shared" si="83"/>
        <v/>
      </c>
      <c r="M346" s="12" t="str">
        <f t="shared" si="84"/>
        <v/>
      </c>
      <c r="N346" s="12" t="str">
        <f t="shared" si="85"/>
        <v/>
      </c>
      <c r="O346" s="12" t="str">
        <f t="shared" si="86"/>
        <v/>
      </c>
      <c r="P346" s="12" t="str">
        <f t="shared" si="87"/>
        <v/>
      </c>
      <c r="Q346" s="12" t="e">
        <f t="shared" si="75"/>
        <v>#VALUE!</v>
      </c>
      <c r="R346" s="39" t="str">
        <f t="shared" si="88"/>
        <v/>
      </c>
      <c r="S346" s="39" t="str">
        <f t="shared" si="76"/>
        <v/>
      </c>
      <c r="V346" s="12" t="str">
        <f t="shared" si="78"/>
        <v/>
      </c>
      <c r="W346" s="22" t="str">
        <f t="shared" si="77"/>
        <v/>
      </c>
    </row>
    <row r="347" spans="7:23" x14ac:dyDescent="0.25">
      <c r="G347" s="12" t="str">
        <f t="shared" si="89"/>
        <v/>
      </c>
      <c r="H347" s="12" t="str">
        <f t="shared" si="79"/>
        <v/>
      </c>
      <c r="I347" s="12" t="str">
        <f t="shared" si="80"/>
        <v/>
      </c>
      <c r="J347" s="12" t="str">
        <f t="shared" si="81"/>
        <v/>
      </c>
      <c r="K347" s="12" t="str">
        <f t="shared" si="82"/>
        <v/>
      </c>
      <c r="L347" s="12" t="str">
        <f t="shared" si="83"/>
        <v/>
      </c>
      <c r="M347" s="12" t="str">
        <f t="shared" si="84"/>
        <v/>
      </c>
      <c r="N347" s="12" t="str">
        <f t="shared" si="85"/>
        <v/>
      </c>
      <c r="O347" s="12" t="str">
        <f t="shared" si="86"/>
        <v/>
      </c>
      <c r="P347" s="12" t="str">
        <f t="shared" si="87"/>
        <v/>
      </c>
      <c r="Q347" s="12" t="e">
        <f t="shared" si="75"/>
        <v>#VALUE!</v>
      </c>
      <c r="R347" s="39" t="str">
        <f t="shared" si="88"/>
        <v/>
      </c>
      <c r="S347" s="39" t="str">
        <f t="shared" si="76"/>
        <v/>
      </c>
      <c r="V347" s="12" t="str">
        <f t="shared" si="78"/>
        <v/>
      </c>
      <c r="W347" s="22" t="str">
        <f t="shared" si="77"/>
        <v/>
      </c>
    </row>
    <row r="348" spans="7:23" x14ac:dyDescent="0.25">
      <c r="G348" s="12" t="str">
        <f t="shared" si="89"/>
        <v/>
      </c>
      <c r="H348" s="12" t="str">
        <f t="shared" si="79"/>
        <v/>
      </c>
      <c r="I348" s="12" t="str">
        <f t="shared" si="80"/>
        <v/>
      </c>
      <c r="J348" s="12" t="str">
        <f t="shared" si="81"/>
        <v/>
      </c>
      <c r="K348" s="12" t="str">
        <f t="shared" si="82"/>
        <v/>
      </c>
      <c r="L348" s="12" t="str">
        <f t="shared" si="83"/>
        <v/>
      </c>
      <c r="M348" s="12" t="str">
        <f t="shared" si="84"/>
        <v/>
      </c>
      <c r="N348" s="12" t="str">
        <f t="shared" si="85"/>
        <v/>
      </c>
      <c r="O348" s="12" t="str">
        <f t="shared" si="86"/>
        <v/>
      </c>
      <c r="P348" s="12" t="str">
        <f t="shared" si="87"/>
        <v/>
      </c>
      <c r="Q348" s="12" t="e">
        <f t="shared" si="75"/>
        <v>#VALUE!</v>
      </c>
      <c r="R348" s="39" t="str">
        <f t="shared" si="88"/>
        <v/>
      </c>
      <c r="S348" s="39" t="str">
        <f t="shared" si="76"/>
        <v/>
      </c>
      <c r="V348" s="12" t="str">
        <f t="shared" si="78"/>
        <v/>
      </c>
      <c r="W348" s="22" t="str">
        <f t="shared" si="77"/>
        <v/>
      </c>
    </row>
    <row r="349" spans="7:23" x14ac:dyDescent="0.25">
      <c r="G349" s="12" t="str">
        <f t="shared" si="89"/>
        <v/>
      </c>
      <c r="H349" s="12" t="str">
        <f t="shared" si="79"/>
        <v/>
      </c>
      <c r="I349" s="12" t="str">
        <f t="shared" si="80"/>
        <v/>
      </c>
      <c r="J349" s="12" t="str">
        <f t="shared" si="81"/>
        <v/>
      </c>
      <c r="K349" s="12" t="str">
        <f t="shared" si="82"/>
        <v/>
      </c>
      <c r="L349" s="12" t="str">
        <f t="shared" si="83"/>
        <v/>
      </c>
      <c r="M349" s="12" t="str">
        <f t="shared" si="84"/>
        <v/>
      </c>
      <c r="N349" s="12" t="str">
        <f t="shared" si="85"/>
        <v/>
      </c>
      <c r="O349" s="12" t="str">
        <f t="shared" si="86"/>
        <v/>
      </c>
      <c r="P349" s="12" t="str">
        <f t="shared" si="87"/>
        <v/>
      </c>
      <c r="Q349" s="12" t="e">
        <f t="shared" si="75"/>
        <v>#VALUE!</v>
      </c>
      <c r="R349" s="39" t="str">
        <f t="shared" si="88"/>
        <v/>
      </c>
      <c r="S349" s="39" t="str">
        <f t="shared" si="76"/>
        <v/>
      </c>
      <c r="V349" s="12" t="str">
        <f t="shared" si="78"/>
        <v/>
      </c>
      <c r="W349" s="22" t="str">
        <f t="shared" si="77"/>
        <v/>
      </c>
    </row>
    <row r="350" spans="7:23" x14ac:dyDescent="0.25">
      <c r="G350" s="12" t="str">
        <f t="shared" si="89"/>
        <v/>
      </c>
      <c r="H350" s="12" t="str">
        <f t="shared" si="79"/>
        <v/>
      </c>
      <c r="I350" s="12" t="str">
        <f t="shared" si="80"/>
        <v/>
      </c>
      <c r="J350" s="12" t="str">
        <f t="shared" si="81"/>
        <v/>
      </c>
      <c r="K350" s="12" t="str">
        <f t="shared" si="82"/>
        <v/>
      </c>
      <c r="L350" s="12" t="str">
        <f t="shared" si="83"/>
        <v/>
      </c>
      <c r="M350" s="12" t="str">
        <f t="shared" si="84"/>
        <v/>
      </c>
      <c r="N350" s="12" t="str">
        <f t="shared" si="85"/>
        <v/>
      </c>
      <c r="O350" s="12" t="str">
        <f t="shared" si="86"/>
        <v/>
      </c>
      <c r="P350" s="12" t="str">
        <f t="shared" si="87"/>
        <v/>
      </c>
      <c r="Q350" s="12" t="e">
        <f t="shared" si="75"/>
        <v>#VALUE!</v>
      </c>
      <c r="R350" s="39" t="str">
        <f t="shared" si="88"/>
        <v/>
      </c>
      <c r="S350" s="39" t="str">
        <f t="shared" si="76"/>
        <v/>
      </c>
      <c r="V350" s="12" t="str">
        <f t="shared" si="78"/>
        <v/>
      </c>
      <c r="W350" s="22" t="str">
        <f t="shared" si="77"/>
        <v/>
      </c>
    </row>
    <row r="351" spans="7:23" x14ac:dyDescent="0.25">
      <c r="G351" s="12" t="str">
        <f t="shared" si="89"/>
        <v/>
      </c>
      <c r="H351" s="12" t="str">
        <f t="shared" si="79"/>
        <v/>
      </c>
      <c r="I351" s="12" t="str">
        <f t="shared" si="80"/>
        <v/>
      </c>
      <c r="J351" s="12" t="str">
        <f t="shared" si="81"/>
        <v/>
      </c>
      <c r="K351" s="12" t="str">
        <f t="shared" si="82"/>
        <v/>
      </c>
      <c r="L351" s="12" t="str">
        <f t="shared" si="83"/>
        <v/>
      </c>
      <c r="M351" s="12" t="str">
        <f t="shared" si="84"/>
        <v/>
      </c>
      <c r="N351" s="12" t="str">
        <f t="shared" si="85"/>
        <v/>
      </c>
      <c r="O351" s="12" t="str">
        <f t="shared" si="86"/>
        <v/>
      </c>
      <c r="P351" s="12" t="str">
        <f t="shared" si="87"/>
        <v/>
      </c>
      <c r="Q351" s="12" t="e">
        <f t="shared" si="75"/>
        <v>#VALUE!</v>
      </c>
      <c r="R351" s="39" t="str">
        <f t="shared" si="88"/>
        <v/>
      </c>
      <c r="S351" s="39" t="str">
        <f t="shared" si="76"/>
        <v/>
      </c>
      <c r="V351" s="12" t="str">
        <f t="shared" si="78"/>
        <v/>
      </c>
      <c r="W351" s="22" t="str">
        <f t="shared" si="77"/>
        <v/>
      </c>
    </row>
    <row r="352" spans="7:23" x14ac:dyDescent="0.25">
      <c r="G352" s="12" t="str">
        <f t="shared" si="89"/>
        <v/>
      </c>
      <c r="H352" s="12" t="str">
        <f t="shared" si="79"/>
        <v/>
      </c>
      <c r="I352" s="12" t="str">
        <f t="shared" si="80"/>
        <v/>
      </c>
      <c r="J352" s="12" t="str">
        <f t="shared" si="81"/>
        <v/>
      </c>
      <c r="K352" s="12" t="str">
        <f t="shared" si="82"/>
        <v/>
      </c>
      <c r="L352" s="12" t="str">
        <f t="shared" si="83"/>
        <v/>
      </c>
      <c r="M352" s="12" t="str">
        <f t="shared" si="84"/>
        <v/>
      </c>
      <c r="N352" s="12" t="str">
        <f t="shared" si="85"/>
        <v/>
      </c>
      <c r="O352" s="12" t="str">
        <f t="shared" si="86"/>
        <v/>
      </c>
      <c r="P352" s="12" t="str">
        <f t="shared" si="87"/>
        <v/>
      </c>
      <c r="Q352" s="12" t="e">
        <f t="shared" si="75"/>
        <v>#VALUE!</v>
      </c>
      <c r="R352" s="39" t="str">
        <f t="shared" si="88"/>
        <v/>
      </c>
      <c r="S352" s="39" t="str">
        <f t="shared" si="76"/>
        <v/>
      </c>
      <c r="V352" s="12" t="str">
        <f t="shared" si="78"/>
        <v/>
      </c>
      <c r="W352" s="22" t="str">
        <f t="shared" si="77"/>
        <v/>
      </c>
    </row>
    <row r="353" spans="7:23" x14ac:dyDescent="0.25">
      <c r="G353" s="12" t="str">
        <f t="shared" si="89"/>
        <v/>
      </c>
      <c r="H353" s="12" t="str">
        <f t="shared" si="79"/>
        <v/>
      </c>
      <c r="I353" s="12" t="str">
        <f t="shared" si="80"/>
        <v/>
      </c>
      <c r="J353" s="12" t="str">
        <f t="shared" si="81"/>
        <v/>
      </c>
      <c r="K353" s="12" t="str">
        <f t="shared" si="82"/>
        <v/>
      </c>
      <c r="L353" s="12" t="str">
        <f t="shared" si="83"/>
        <v/>
      </c>
      <c r="M353" s="12" t="str">
        <f t="shared" si="84"/>
        <v/>
      </c>
      <c r="N353" s="12" t="str">
        <f t="shared" si="85"/>
        <v/>
      </c>
      <c r="O353" s="12" t="str">
        <f t="shared" si="86"/>
        <v/>
      </c>
      <c r="P353" s="12" t="str">
        <f t="shared" si="87"/>
        <v/>
      </c>
      <c r="Q353" s="12" t="e">
        <f t="shared" ref="Q353:Q416" si="90">G353-G352</f>
        <v>#VALUE!</v>
      </c>
      <c r="R353" s="39" t="str">
        <f t="shared" si="88"/>
        <v/>
      </c>
      <c r="S353" s="39" t="str">
        <f t="shared" ref="S353" si="91">R353</f>
        <v/>
      </c>
      <c r="V353" s="12" t="str">
        <f t="shared" si="78"/>
        <v/>
      </c>
      <c r="W353" s="22" t="str">
        <f t="shared" si="77"/>
        <v/>
      </c>
    </row>
    <row r="354" spans="7:23" x14ac:dyDescent="0.25">
      <c r="G354" s="12" t="str">
        <f t="shared" si="89"/>
        <v/>
      </c>
      <c r="H354" s="12" t="str">
        <f t="shared" si="79"/>
        <v/>
      </c>
      <c r="I354" s="12" t="str">
        <f t="shared" si="80"/>
        <v/>
      </c>
      <c r="J354" s="12" t="str">
        <f t="shared" si="81"/>
        <v/>
      </c>
      <c r="K354" s="12" t="str">
        <f t="shared" si="82"/>
        <v/>
      </c>
      <c r="L354" s="12" t="str">
        <f t="shared" si="83"/>
        <v/>
      </c>
      <c r="M354" s="12" t="str">
        <f t="shared" si="84"/>
        <v/>
      </c>
      <c r="N354" s="12" t="str">
        <f t="shared" si="85"/>
        <v/>
      </c>
      <c r="O354" s="12" t="str">
        <f t="shared" si="86"/>
        <v/>
      </c>
      <c r="P354" s="12" t="str">
        <f t="shared" si="87"/>
        <v/>
      </c>
      <c r="Q354" s="12" t="e">
        <f t="shared" si="90"/>
        <v>#VALUE!</v>
      </c>
      <c r="R354" s="39" t="str">
        <f t="shared" si="88"/>
        <v/>
      </c>
      <c r="V354" s="12" t="str">
        <f t="shared" si="78"/>
        <v/>
      </c>
      <c r="W354" s="22" t="str">
        <f t="shared" si="77"/>
        <v/>
      </c>
    </row>
    <row r="355" spans="7:23" x14ac:dyDescent="0.25">
      <c r="G355" s="12" t="str">
        <f t="shared" si="89"/>
        <v/>
      </c>
      <c r="H355" s="12" t="str">
        <f t="shared" si="79"/>
        <v/>
      </c>
      <c r="I355" s="12" t="str">
        <f t="shared" si="80"/>
        <v/>
      </c>
      <c r="J355" s="12" t="str">
        <f t="shared" si="81"/>
        <v/>
      </c>
      <c r="K355" s="12" t="str">
        <f t="shared" si="82"/>
        <v/>
      </c>
      <c r="L355" s="12" t="str">
        <f t="shared" si="83"/>
        <v/>
      </c>
      <c r="M355" s="12" t="str">
        <f t="shared" si="84"/>
        <v/>
      </c>
      <c r="N355" s="12" t="str">
        <f t="shared" si="85"/>
        <v/>
      </c>
      <c r="O355" s="12" t="str">
        <f t="shared" si="86"/>
        <v/>
      </c>
      <c r="P355" s="12" t="str">
        <f t="shared" si="87"/>
        <v/>
      </c>
      <c r="Q355" s="12" t="e">
        <f t="shared" si="90"/>
        <v>#VALUE!</v>
      </c>
      <c r="R355" s="39" t="str">
        <f t="shared" si="88"/>
        <v/>
      </c>
      <c r="V355" s="12" t="str">
        <f t="shared" si="78"/>
        <v/>
      </c>
      <c r="W355" s="22" t="str">
        <f t="shared" si="77"/>
        <v/>
      </c>
    </row>
    <row r="356" spans="7:23" x14ac:dyDescent="0.25">
      <c r="G356" s="12" t="str">
        <f t="shared" si="89"/>
        <v/>
      </c>
      <c r="H356" s="12" t="str">
        <f t="shared" si="79"/>
        <v/>
      </c>
      <c r="I356" s="12" t="str">
        <f t="shared" si="80"/>
        <v/>
      </c>
      <c r="J356" s="12" t="str">
        <f t="shared" si="81"/>
        <v/>
      </c>
      <c r="K356" s="12" t="str">
        <f t="shared" si="82"/>
        <v/>
      </c>
      <c r="L356" s="12" t="str">
        <f t="shared" si="83"/>
        <v/>
      </c>
      <c r="M356" s="12" t="str">
        <f t="shared" si="84"/>
        <v/>
      </c>
      <c r="N356" s="12" t="str">
        <f t="shared" si="85"/>
        <v/>
      </c>
      <c r="O356" s="12" t="str">
        <f t="shared" si="86"/>
        <v/>
      </c>
      <c r="P356" s="12" t="str">
        <f t="shared" si="87"/>
        <v/>
      </c>
      <c r="Q356" s="12" t="e">
        <f t="shared" si="90"/>
        <v>#VALUE!</v>
      </c>
      <c r="R356" s="39" t="str">
        <f t="shared" si="88"/>
        <v/>
      </c>
      <c r="V356" s="12" t="str">
        <f t="shared" si="78"/>
        <v/>
      </c>
      <c r="W356" s="22" t="str">
        <f t="shared" si="77"/>
        <v/>
      </c>
    </row>
    <row r="357" spans="7:23" x14ac:dyDescent="0.25">
      <c r="G357" s="12" t="str">
        <f t="shared" si="89"/>
        <v/>
      </c>
      <c r="H357" s="12" t="str">
        <f t="shared" si="79"/>
        <v/>
      </c>
      <c r="I357" s="12" t="str">
        <f t="shared" si="80"/>
        <v/>
      </c>
      <c r="J357" s="12" t="str">
        <f t="shared" si="81"/>
        <v/>
      </c>
      <c r="K357" s="12" t="str">
        <f t="shared" si="82"/>
        <v/>
      </c>
      <c r="L357" s="12" t="str">
        <f t="shared" si="83"/>
        <v/>
      </c>
      <c r="M357" s="12" t="str">
        <f t="shared" si="84"/>
        <v/>
      </c>
      <c r="N357" s="12" t="str">
        <f t="shared" si="85"/>
        <v/>
      </c>
      <c r="O357" s="12" t="str">
        <f t="shared" si="86"/>
        <v/>
      </c>
      <c r="P357" s="12" t="str">
        <f t="shared" si="87"/>
        <v/>
      </c>
      <c r="Q357" s="12" t="e">
        <f t="shared" si="90"/>
        <v>#VALUE!</v>
      </c>
      <c r="R357" s="39" t="str">
        <f t="shared" si="88"/>
        <v/>
      </c>
      <c r="V357" s="12" t="str">
        <f t="shared" si="78"/>
        <v/>
      </c>
      <c r="W357" s="22" t="str">
        <f t="shared" si="77"/>
        <v/>
      </c>
    </row>
    <row r="358" spans="7:23" x14ac:dyDescent="0.25">
      <c r="G358" s="12" t="str">
        <f t="shared" si="89"/>
        <v/>
      </c>
      <c r="H358" s="12" t="str">
        <f t="shared" si="79"/>
        <v/>
      </c>
      <c r="I358" s="12" t="str">
        <f t="shared" si="80"/>
        <v/>
      </c>
      <c r="J358" s="12" t="str">
        <f t="shared" si="81"/>
        <v/>
      </c>
      <c r="K358" s="12" t="str">
        <f t="shared" si="82"/>
        <v/>
      </c>
      <c r="L358" s="12" t="str">
        <f t="shared" si="83"/>
        <v/>
      </c>
      <c r="M358" s="12" t="str">
        <f t="shared" si="84"/>
        <v/>
      </c>
      <c r="N358" s="12" t="str">
        <f t="shared" si="85"/>
        <v/>
      </c>
      <c r="O358" s="12" t="str">
        <f t="shared" si="86"/>
        <v/>
      </c>
      <c r="P358" s="12" t="str">
        <f t="shared" si="87"/>
        <v/>
      </c>
      <c r="Q358" s="12" t="e">
        <f t="shared" si="90"/>
        <v>#VALUE!</v>
      </c>
      <c r="R358" s="39" t="str">
        <f t="shared" si="88"/>
        <v/>
      </c>
      <c r="V358" s="12" t="str">
        <f t="shared" si="78"/>
        <v/>
      </c>
      <c r="W358" s="22" t="str">
        <f t="shared" si="77"/>
        <v/>
      </c>
    </row>
    <row r="359" spans="7:23" x14ac:dyDescent="0.25">
      <c r="G359" s="12" t="str">
        <f t="shared" si="89"/>
        <v/>
      </c>
      <c r="H359" s="12" t="str">
        <f t="shared" si="79"/>
        <v/>
      </c>
      <c r="I359" s="12" t="str">
        <f t="shared" si="80"/>
        <v/>
      </c>
      <c r="J359" s="12" t="str">
        <f t="shared" si="81"/>
        <v/>
      </c>
      <c r="K359" s="12" t="str">
        <f t="shared" si="82"/>
        <v/>
      </c>
      <c r="L359" s="12" t="str">
        <f t="shared" si="83"/>
        <v/>
      </c>
      <c r="M359" s="12" t="str">
        <f t="shared" si="84"/>
        <v/>
      </c>
      <c r="N359" s="12" t="str">
        <f t="shared" si="85"/>
        <v/>
      </c>
      <c r="O359" s="12" t="str">
        <f t="shared" si="86"/>
        <v/>
      </c>
      <c r="P359" s="12" t="str">
        <f t="shared" si="87"/>
        <v/>
      </c>
      <c r="Q359" s="12" t="e">
        <f t="shared" si="90"/>
        <v>#VALUE!</v>
      </c>
      <c r="R359" s="39" t="str">
        <f t="shared" si="88"/>
        <v/>
      </c>
      <c r="V359" s="12" t="str">
        <f t="shared" si="78"/>
        <v/>
      </c>
      <c r="W359" s="22" t="str">
        <f t="shared" si="77"/>
        <v/>
      </c>
    </row>
    <row r="360" spans="7:23" x14ac:dyDescent="0.25">
      <c r="G360" s="12" t="str">
        <f t="shared" si="89"/>
        <v/>
      </c>
      <c r="H360" s="12" t="str">
        <f t="shared" si="79"/>
        <v/>
      </c>
      <c r="I360" s="12" t="str">
        <f t="shared" si="80"/>
        <v/>
      </c>
      <c r="J360" s="12" t="str">
        <f t="shared" si="81"/>
        <v/>
      </c>
      <c r="K360" s="12" t="str">
        <f t="shared" si="82"/>
        <v/>
      </c>
      <c r="L360" s="12" t="str">
        <f t="shared" si="83"/>
        <v/>
      </c>
      <c r="M360" s="12" t="str">
        <f t="shared" si="84"/>
        <v/>
      </c>
      <c r="N360" s="12" t="str">
        <f t="shared" si="85"/>
        <v/>
      </c>
      <c r="O360" s="12" t="str">
        <f t="shared" si="86"/>
        <v/>
      </c>
      <c r="P360" s="12" t="str">
        <f t="shared" si="87"/>
        <v/>
      </c>
      <c r="Q360" s="12" t="e">
        <f t="shared" si="90"/>
        <v>#VALUE!</v>
      </c>
      <c r="R360" s="39" t="str">
        <f t="shared" si="88"/>
        <v/>
      </c>
      <c r="V360" s="12" t="str">
        <f t="shared" si="78"/>
        <v/>
      </c>
      <c r="W360" s="22" t="str">
        <f t="shared" si="77"/>
        <v/>
      </c>
    </row>
    <row r="361" spans="7:23" x14ac:dyDescent="0.25">
      <c r="G361" s="12" t="str">
        <f t="shared" si="89"/>
        <v/>
      </c>
      <c r="H361" s="12" t="str">
        <f t="shared" si="79"/>
        <v/>
      </c>
      <c r="I361" s="12" t="str">
        <f t="shared" si="80"/>
        <v/>
      </c>
      <c r="J361" s="12" t="str">
        <f t="shared" si="81"/>
        <v/>
      </c>
      <c r="K361" s="12" t="str">
        <f t="shared" si="82"/>
        <v/>
      </c>
      <c r="L361" s="12" t="str">
        <f t="shared" si="83"/>
        <v/>
      </c>
      <c r="M361" s="12" t="str">
        <f t="shared" si="84"/>
        <v/>
      </c>
      <c r="N361" s="12" t="str">
        <f t="shared" si="85"/>
        <v/>
      </c>
      <c r="O361" s="12" t="str">
        <f t="shared" si="86"/>
        <v/>
      </c>
      <c r="P361" s="12" t="str">
        <f t="shared" si="87"/>
        <v/>
      </c>
      <c r="Q361" s="12" t="e">
        <f t="shared" si="90"/>
        <v>#VALUE!</v>
      </c>
      <c r="R361" s="39" t="str">
        <f t="shared" si="88"/>
        <v/>
      </c>
      <c r="V361" s="12" t="str">
        <f t="shared" si="78"/>
        <v/>
      </c>
      <c r="W361" s="22" t="str">
        <f t="shared" si="77"/>
        <v/>
      </c>
    </row>
    <row r="362" spans="7:23" x14ac:dyDescent="0.25">
      <c r="G362" s="12" t="str">
        <f t="shared" si="89"/>
        <v/>
      </c>
      <c r="H362" s="12" t="str">
        <f t="shared" si="79"/>
        <v/>
      </c>
      <c r="I362" s="12" t="str">
        <f t="shared" si="80"/>
        <v/>
      </c>
      <c r="J362" s="12" t="str">
        <f t="shared" si="81"/>
        <v/>
      </c>
      <c r="K362" s="12" t="str">
        <f t="shared" si="82"/>
        <v/>
      </c>
      <c r="L362" s="12" t="str">
        <f t="shared" si="83"/>
        <v/>
      </c>
      <c r="M362" s="12" t="str">
        <f t="shared" si="84"/>
        <v/>
      </c>
      <c r="N362" s="12" t="str">
        <f t="shared" si="85"/>
        <v/>
      </c>
      <c r="O362" s="12" t="str">
        <f t="shared" si="86"/>
        <v/>
      </c>
      <c r="P362" s="12" t="str">
        <f t="shared" si="87"/>
        <v/>
      </c>
      <c r="Q362" s="12" t="e">
        <f t="shared" si="90"/>
        <v>#VALUE!</v>
      </c>
      <c r="R362" s="39" t="str">
        <f t="shared" si="88"/>
        <v/>
      </c>
      <c r="V362" s="12" t="str">
        <f t="shared" si="78"/>
        <v/>
      </c>
      <c r="W362" s="22" t="str">
        <f t="shared" si="77"/>
        <v/>
      </c>
    </row>
    <row r="363" spans="7:23" x14ac:dyDescent="0.25">
      <c r="G363" s="12" t="str">
        <f t="shared" si="89"/>
        <v/>
      </c>
      <c r="H363" s="12" t="str">
        <f t="shared" si="79"/>
        <v/>
      </c>
      <c r="I363" s="12" t="str">
        <f t="shared" si="80"/>
        <v/>
      </c>
      <c r="J363" s="12" t="str">
        <f t="shared" si="81"/>
        <v/>
      </c>
      <c r="K363" s="12" t="str">
        <f t="shared" si="82"/>
        <v/>
      </c>
      <c r="L363" s="12" t="str">
        <f t="shared" si="83"/>
        <v/>
      </c>
      <c r="M363" s="12" t="str">
        <f t="shared" si="84"/>
        <v/>
      </c>
      <c r="N363" s="12" t="str">
        <f t="shared" si="85"/>
        <v/>
      </c>
      <c r="O363" s="12" t="str">
        <f t="shared" si="86"/>
        <v/>
      </c>
      <c r="P363" s="12" t="str">
        <f t="shared" si="87"/>
        <v/>
      </c>
      <c r="Q363" s="12" t="e">
        <f t="shared" si="90"/>
        <v>#VALUE!</v>
      </c>
      <c r="R363" s="39" t="str">
        <f t="shared" si="88"/>
        <v/>
      </c>
      <c r="V363" s="12" t="str">
        <f t="shared" si="78"/>
        <v/>
      </c>
      <c r="W363" s="22" t="str">
        <f t="shared" si="77"/>
        <v/>
      </c>
    </row>
    <row r="364" spans="7:23" x14ac:dyDescent="0.25">
      <c r="G364" s="12" t="str">
        <f t="shared" si="89"/>
        <v/>
      </c>
      <c r="H364" s="12" t="str">
        <f t="shared" si="79"/>
        <v/>
      </c>
      <c r="I364" s="12" t="str">
        <f t="shared" si="80"/>
        <v/>
      </c>
      <c r="J364" s="12" t="str">
        <f t="shared" si="81"/>
        <v/>
      </c>
      <c r="K364" s="12" t="str">
        <f t="shared" si="82"/>
        <v/>
      </c>
      <c r="L364" s="12" t="str">
        <f t="shared" si="83"/>
        <v/>
      </c>
      <c r="M364" s="12" t="str">
        <f t="shared" si="84"/>
        <v/>
      </c>
      <c r="N364" s="12" t="str">
        <f t="shared" si="85"/>
        <v/>
      </c>
      <c r="O364" s="12" t="str">
        <f t="shared" si="86"/>
        <v/>
      </c>
      <c r="P364" s="12" t="str">
        <f t="shared" si="87"/>
        <v/>
      </c>
      <c r="Q364" s="12" t="e">
        <f t="shared" si="90"/>
        <v>#VALUE!</v>
      </c>
      <c r="R364" s="39" t="str">
        <f t="shared" si="88"/>
        <v/>
      </c>
      <c r="V364" s="12" t="str">
        <f t="shared" si="78"/>
        <v/>
      </c>
      <c r="W364" s="22" t="str">
        <f t="shared" si="77"/>
        <v/>
      </c>
    </row>
    <row r="365" spans="7:23" x14ac:dyDescent="0.25">
      <c r="G365" s="12" t="str">
        <f t="shared" si="89"/>
        <v/>
      </c>
      <c r="H365" s="12" t="str">
        <f t="shared" si="79"/>
        <v/>
      </c>
      <c r="I365" s="12" t="str">
        <f t="shared" si="80"/>
        <v/>
      </c>
      <c r="J365" s="12" t="str">
        <f t="shared" si="81"/>
        <v/>
      </c>
      <c r="K365" s="12" t="str">
        <f t="shared" si="82"/>
        <v/>
      </c>
      <c r="L365" s="12" t="str">
        <f t="shared" si="83"/>
        <v/>
      </c>
      <c r="M365" s="12" t="str">
        <f t="shared" si="84"/>
        <v/>
      </c>
      <c r="N365" s="12" t="str">
        <f t="shared" si="85"/>
        <v/>
      </c>
      <c r="O365" s="12" t="str">
        <f t="shared" si="86"/>
        <v/>
      </c>
      <c r="P365" s="12" t="str">
        <f t="shared" si="87"/>
        <v/>
      </c>
      <c r="Q365" s="12" t="e">
        <f t="shared" si="90"/>
        <v>#VALUE!</v>
      </c>
      <c r="R365" s="39" t="str">
        <f t="shared" si="88"/>
        <v/>
      </c>
      <c r="V365" s="12" t="str">
        <f t="shared" si="78"/>
        <v/>
      </c>
      <c r="W365" s="22" t="str">
        <f t="shared" si="77"/>
        <v/>
      </c>
    </row>
    <row r="366" spans="7:23" x14ac:dyDescent="0.25">
      <c r="G366" s="12" t="str">
        <f t="shared" si="89"/>
        <v/>
      </c>
      <c r="H366" s="12" t="str">
        <f t="shared" si="79"/>
        <v/>
      </c>
      <c r="I366" s="12" t="str">
        <f t="shared" si="80"/>
        <v/>
      </c>
      <c r="J366" s="12" t="str">
        <f t="shared" si="81"/>
        <v/>
      </c>
      <c r="K366" s="12" t="str">
        <f t="shared" si="82"/>
        <v/>
      </c>
      <c r="L366" s="12" t="str">
        <f t="shared" si="83"/>
        <v/>
      </c>
      <c r="M366" s="12" t="str">
        <f t="shared" si="84"/>
        <v/>
      </c>
      <c r="N366" s="12" t="str">
        <f t="shared" si="85"/>
        <v/>
      </c>
      <c r="O366" s="12" t="str">
        <f t="shared" si="86"/>
        <v/>
      </c>
      <c r="P366" s="12" t="str">
        <f t="shared" si="87"/>
        <v/>
      </c>
      <c r="Q366" s="12" t="e">
        <f t="shared" si="90"/>
        <v>#VALUE!</v>
      </c>
      <c r="R366" s="39" t="str">
        <f t="shared" si="88"/>
        <v/>
      </c>
      <c r="V366" s="12" t="str">
        <f t="shared" si="78"/>
        <v/>
      </c>
      <c r="W366" s="22" t="str">
        <f t="shared" si="77"/>
        <v/>
      </c>
    </row>
    <row r="367" spans="7:23" x14ac:dyDescent="0.25">
      <c r="G367" s="12" t="str">
        <f t="shared" si="89"/>
        <v/>
      </c>
      <c r="H367" s="12" t="str">
        <f t="shared" si="79"/>
        <v/>
      </c>
      <c r="I367" s="12" t="str">
        <f t="shared" si="80"/>
        <v/>
      </c>
      <c r="J367" s="12" t="str">
        <f t="shared" si="81"/>
        <v/>
      </c>
      <c r="K367" s="12" t="str">
        <f t="shared" si="82"/>
        <v/>
      </c>
      <c r="L367" s="12" t="str">
        <f t="shared" si="83"/>
        <v/>
      </c>
      <c r="M367" s="12" t="str">
        <f t="shared" si="84"/>
        <v/>
      </c>
      <c r="N367" s="12" t="str">
        <f t="shared" si="85"/>
        <v/>
      </c>
      <c r="O367" s="12" t="str">
        <f t="shared" si="86"/>
        <v/>
      </c>
      <c r="P367" s="12" t="str">
        <f t="shared" si="87"/>
        <v/>
      </c>
      <c r="Q367" s="12" t="e">
        <f t="shared" si="90"/>
        <v>#VALUE!</v>
      </c>
      <c r="R367" s="39" t="str">
        <f t="shared" si="88"/>
        <v/>
      </c>
      <c r="V367" s="12" t="str">
        <f t="shared" si="78"/>
        <v/>
      </c>
      <c r="W367" s="22" t="str">
        <f t="shared" si="77"/>
        <v/>
      </c>
    </row>
    <row r="368" spans="7:23" x14ac:dyDescent="0.25">
      <c r="G368" s="12" t="str">
        <f t="shared" si="89"/>
        <v/>
      </c>
      <c r="H368" s="12" t="str">
        <f t="shared" si="79"/>
        <v/>
      </c>
      <c r="I368" s="12" t="str">
        <f t="shared" si="80"/>
        <v/>
      </c>
      <c r="J368" s="12" t="str">
        <f t="shared" si="81"/>
        <v/>
      </c>
      <c r="K368" s="12" t="str">
        <f t="shared" si="82"/>
        <v/>
      </c>
      <c r="L368" s="12" t="str">
        <f t="shared" si="83"/>
        <v/>
      </c>
      <c r="M368" s="12" t="str">
        <f t="shared" si="84"/>
        <v/>
      </c>
      <c r="N368" s="12" t="str">
        <f t="shared" si="85"/>
        <v/>
      </c>
      <c r="O368" s="12" t="str">
        <f t="shared" si="86"/>
        <v/>
      </c>
      <c r="P368" s="12" t="str">
        <f t="shared" si="87"/>
        <v/>
      </c>
      <c r="Q368" s="12" t="e">
        <f t="shared" si="90"/>
        <v>#VALUE!</v>
      </c>
      <c r="R368" s="39" t="str">
        <f t="shared" si="88"/>
        <v/>
      </c>
      <c r="V368" s="12" t="str">
        <f t="shared" si="78"/>
        <v/>
      </c>
      <c r="W368" s="22" t="str">
        <f t="shared" si="77"/>
        <v/>
      </c>
    </row>
    <row r="369" spans="7:23" x14ac:dyDescent="0.25">
      <c r="G369" s="12" t="str">
        <f t="shared" si="89"/>
        <v/>
      </c>
      <c r="H369" s="12" t="str">
        <f t="shared" si="79"/>
        <v/>
      </c>
      <c r="I369" s="12" t="str">
        <f t="shared" si="80"/>
        <v/>
      </c>
      <c r="J369" s="12" t="str">
        <f t="shared" si="81"/>
        <v/>
      </c>
      <c r="K369" s="12" t="str">
        <f t="shared" si="82"/>
        <v/>
      </c>
      <c r="L369" s="12" t="str">
        <f t="shared" si="83"/>
        <v/>
      </c>
      <c r="M369" s="12" t="str">
        <f t="shared" si="84"/>
        <v/>
      </c>
      <c r="N369" s="12" t="str">
        <f t="shared" si="85"/>
        <v/>
      </c>
      <c r="O369" s="12" t="str">
        <f t="shared" si="86"/>
        <v/>
      </c>
      <c r="P369" s="12" t="str">
        <f t="shared" si="87"/>
        <v/>
      </c>
      <c r="Q369" s="12" t="e">
        <f t="shared" si="90"/>
        <v>#VALUE!</v>
      </c>
      <c r="R369" s="39" t="str">
        <f t="shared" si="88"/>
        <v/>
      </c>
      <c r="V369" s="12" t="str">
        <f t="shared" si="78"/>
        <v/>
      </c>
      <c r="W369" s="22" t="str">
        <f t="shared" si="77"/>
        <v/>
      </c>
    </row>
    <row r="370" spans="7:23" x14ac:dyDescent="0.25">
      <c r="G370" s="12" t="str">
        <f t="shared" si="89"/>
        <v/>
      </c>
      <c r="H370" s="12" t="str">
        <f t="shared" si="79"/>
        <v/>
      </c>
      <c r="I370" s="12" t="str">
        <f t="shared" si="80"/>
        <v/>
      </c>
      <c r="J370" s="12" t="str">
        <f t="shared" si="81"/>
        <v/>
      </c>
      <c r="K370" s="12" t="str">
        <f t="shared" si="82"/>
        <v/>
      </c>
      <c r="L370" s="12" t="str">
        <f t="shared" si="83"/>
        <v/>
      </c>
      <c r="M370" s="12" t="str">
        <f t="shared" si="84"/>
        <v/>
      </c>
      <c r="N370" s="12" t="str">
        <f t="shared" si="85"/>
        <v/>
      </c>
      <c r="O370" s="12" t="str">
        <f t="shared" si="86"/>
        <v/>
      </c>
      <c r="P370" s="12" t="str">
        <f t="shared" si="87"/>
        <v/>
      </c>
      <c r="Q370" s="12" t="e">
        <f t="shared" si="90"/>
        <v>#VALUE!</v>
      </c>
      <c r="R370" s="39" t="str">
        <f t="shared" si="88"/>
        <v/>
      </c>
      <c r="V370" s="12" t="str">
        <f t="shared" si="78"/>
        <v/>
      </c>
      <c r="W370" s="22" t="str">
        <f t="shared" si="77"/>
        <v/>
      </c>
    </row>
    <row r="371" spans="7:23" x14ac:dyDescent="0.25">
      <c r="G371" s="12" t="str">
        <f t="shared" si="89"/>
        <v/>
      </c>
      <c r="H371" s="12" t="str">
        <f t="shared" si="79"/>
        <v/>
      </c>
      <c r="I371" s="12" t="str">
        <f t="shared" si="80"/>
        <v/>
      </c>
      <c r="J371" s="12" t="str">
        <f t="shared" si="81"/>
        <v/>
      </c>
      <c r="K371" s="12" t="str">
        <f t="shared" si="82"/>
        <v/>
      </c>
      <c r="L371" s="12" t="str">
        <f t="shared" si="83"/>
        <v/>
      </c>
      <c r="M371" s="12" t="str">
        <f t="shared" si="84"/>
        <v/>
      </c>
      <c r="N371" s="12" t="str">
        <f t="shared" si="85"/>
        <v/>
      </c>
      <c r="O371" s="12" t="str">
        <f t="shared" si="86"/>
        <v/>
      </c>
      <c r="P371" s="12" t="str">
        <f t="shared" si="87"/>
        <v/>
      </c>
      <c r="Q371" s="12" t="e">
        <f t="shared" si="90"/>
        <v>#VALUE!</v>
      </c>
      <c r="R371" s="39" t="str">
        <f t="shared" si="88"/>
        <v/>
      </c>
      <c r="V371" s="12" t="str">
        <f t="shared" si="78"/>
        <v/>
      </c>
      <c r="W371" s="22" t="str">
        <f t="shared" si="77"/>
        <v/>
      </c>
    </row>
    <row r="372" spans="7:23" x14ac:dyDescent="0.25">
      <c r="G372" s="12" t="str">
        <f t="shared" si="89"/>
        <v/>
      </c>
      <c r="H372" s="12" t="str">
        <f t="shared" si="79"/>
        <v/>
      </c>
      <c r="I372" s="12" t="str">
        <f t="shared" si="80"/>
        <v/>
      </c>
      <c r="J372" s="12" t="str">
        <f t="shared" si="81"/>
        <v/>
      </c>
      <c r="K372" s="12" t="str">
        <f t="shared" si="82"/>
        <v/>
      </c>
      <c r="L372" s="12" t="str">
        <f t="shared" si="83"/>
        <v/>
      </c>
      <c r="M372" s="12" t="str">
        <f t="shared" si="84"/>
        <v/>
      </c>
      <c r="N372" s="12" t="str">
        <f t="shared" si="85"/>
        <v/>
      </c>
      <c r="O372" s="12" t="str">
        <f t="shared" si="86"/>
        <v/>
      </c>
      <c r="P372" s="12" t="str">
        <f t="shared" si="87"/>
        <v/>
      </c>
      <c r="Q372" s="12" t="e">
        <f t="shared" si="90"/>
        <v>#VALUE!</v>
      </c>
      <c r="R372" s="39" t="str">
        <f t="shared" si="88"/>
        <v/>
      </c>
      <c r="V372" s="12" t="str">
        <f t="shared" si="78"/>
        <v/>
      </c>
      <c r="W372" s="22" t="str">
        <f t="shared" si="77"/>
        <v/>
      </c>
    </row>
    <row r="373" spans="7:23" x14ac:dyDescent="0.25">
      <c r="G373" s="12" t="str">
        <f t="shared" si="89"/>
        <v/>
      </c>
      <c r="H373" s="12" t="str">
        <f t="shared" si="79"/>
        <v/>
      </c>
      <c r="I373" s="12" t="str">
        <f t="shared" si="80"/>
        <v/>
      </c>
      <c r="J373" s="12" t="str">
        <f t="shared" si="81"/>
        <v/>
      </c>
      <c r="K373" s="12" t="str">
        <f t="shared" si="82"/>
        <v/>
      </c>
      <c r="L373" s="12" t="str">
        <f t="shared" si="83"/>
        <v/>
      </c>
      <c r="M373" s="12" t="str">
        <f t="shared" si="84"/>
        <v/>
      </c>
      <c r="N373" s="12" t="str">
        <f t="shared" si="85"/>
        <v/>
      </c>
      <c r="O373" s="12" t="str">
        <f t="shared" si="86"/>
        <v/>
      </c>
      <c r="P373" s="12" t="str">
        <f t="shared" si="87"/>
        <v/>
      </c>
      <c r="Q373" s="12" t="e">
        <f t="shared" si="90"/>
        <v>#VALUE!</v>
      </c>
      <c r="R373" s="39" t="str">
        <f t="shared" si="88"/>
        <v/>
      </c>
      <c r="V373" s="12" t="str">
        <f t="shared" si="78"/>
        <v/>
      </c>
      <c r="W373" s="22" t="str">
        <f t="shared" si="77"/>
        <v/>
      </c>
    </row>
    <row r="374" spans="7:23" x14ac:dyDescent="0.25">
      <c r="G374" s="12" t="str">
        <f t="shared" si="89"/>
        <v/>
      </c>
      <c r="H374" s="12" t="str">
        <f t="shared" si="79"/>
        <v/>
      </c>
      <c r="I374" s="12" t="str">
        <f t="shared" si="80"/>
        <v/>
      </c>
      <c r="J374" s="12" t="str">
        <f t="shared" si="81"/>
        <v/>
      </c>
      <c r="K374" s="12" t="str">
        <f t="shared" si="82"/>
        <v/>
      </c>
      <c r="L374" s="12" t="str">
        <f t="shared" si="83"/>
        <v/>
      </c>
      <c r="M374" s="12" t="str">
        <f t="shared" si="84"/>
        <v/>
      </c>
      <c r="N374" s="12" t="str">
        <f t="shared" si="85"/>
        <v/>
      </c>
      <c r="O374" s="12" t="str">
        <f t="shared" si="86"/>
        <v/>
      </c>
      <c r="P374" s="12" t="str">
        <f t="shared" si="87"/>
        <v/>
      </c>
      <c r="Q374" s="12" t="e">
        <f t="shared" si="90"/>
        <v>#VALUE!</v>
      </c>
      <c r="R374" s="39" t="str">
        <f t="shared" si="88"/>
        <v/>
      </c>
      <c r="V374" s="12" t="str">
        <f t="shared" si="78"/>
        <v/>
      </c>
      <c r="W374" s="22" t="str">
        <f t="shared" ref="W374:W437" si="92">_xlfn.IFS(V374="","",SECOND(V374)&lt;10,"",  (HOUR(V374)*3600+MINUTE(V374)*60+SECOND(V374))&gt;60,"", (HOUR(V374)*3600+MINUTE(V374)*60+SECOND(V374))&lt;60, HOUR(V374)*3600+MINUTE(V374)*60+SECOND(V374))</f>
        <v/>
      </c>
    </row>
    <row r="375" spans="7:23" x14ac:dyDescent="0.25">
      <c r="G375" s="12" t="str">
        <f t="shared" si="89"/>
        <v/>
      </c>
      <c r="H375" s="12" t="str">
        <f t="shared" si="79"/>
        <v/>
      </c>
      <c r="I375" s="12" t="str">
        <f t="shared" si="80"/>
        <v/>
      </c>
      <c r="J375" s="12" t="str">
        <f t="shared" si="81"/>
        <v/>
      </c>
      <c r="K375" s="12" t="str">
        <f t="shared" si="82"/>
        <v/>
      </c>
      <c r="L375" s="12" t="str">
        <f t="shared" si="83"/>
        <v/>
      </c>
      <c r="M375" s="12" t="str">
        <f t="shared" si="84"/>
        <v/>
      </c>
      <c r="N375" s="12" t="str">
        <f t="shared" si="85"/>
        <v/>
      </c>
      <c r="O375" s="12" t="str">
        <f t="shared" si="86"/>
        <v/>
      </c>
      <c r="P375" s="12" t="str">
        <f t="shared" si="87"/>
        <v/>
      </c>
      <c r="Q375" s="12" t="e">
        <f t="shared" si="90"/>
        <v>#VALUE!</v>
      </c>
      <c r="R375" s="39" t="str">
        <f t="shared" si="88"/>
        <v/>
      </c>
      <c r="V375" s="12" t="str">
        <f t="shared" si="78"/>
        <v/>
      </c>
      <c r="W375" s="22" t="str">
        <f t="shared" si="92"/>
        <v/>
      </c>
    </row>
    <row r="376" spans="7:23" x14ac:dyDescent="0.25">
      <c r="G376" s="12" t="str">
        <f t="shared" si="89"/>
        <v/>
      </c>
      <c r="H376" s="12" t="str">
        <f t="shared" si="79"/>
        <v/>
      </c>
      <c r="I376" s="12" t="str">
        <f t="shared" si="80"/>
        <v/>
      </c>
      <c r="J376" s="12" t="str">
        <f t="shared" si="81"/>
        <v/>
      </c>
      <c r="K376" s="12" t="str">
        <f t="shared" si="82"/>
        <v/>
      </c>
      <c r="L376" s="12" t="str">
        <f t="shared" si="83"/>
        <v/>
      </c>
      <c r="M376" s="12" t="str">
        <f t="shared" si="84"/>
        <v/>
      </c>
      <c r="N376" s="12" t="str">
        <f t="shared" si="85"/>
        <v/>
      </c>
      <c r="O376" s="12" t="str">
        <f t="shared" si="86"/>
        <v/>
      </c>
      <c r="P376" s="12" t="str">
        <f t="shared" si="87"/>
        <v/>
      </c>
      <c r="Q376" s="12" t="e">
        <f t="shared" si="90"/>
        <v>#VALUE!</v>
      </c>
      <c r="R376" s="39" t="str">
        <f t="shared" si="88"/>
        <v/>
      </c>
      <c r="V376" s="12" t="str">
        <f t="shared" si="78"/>
        <v/>
      </c>
      <c r="W376" s="22" t="str">
        <f t="shared" si="92"/>
        <v/>
      </c>
    </row>
    <row r="377" spans="7:23" x14ac:dyDescent="0.25">
      <c r="G377" s="12" t="str">
        <f t="shared" si="89"/>
        <v/>
      </c>
      <c r="H377" s="12" t="str">
        <f t="shared" si="79"/>
        <v/>
      </c>
      <c r="I377" s="12" t="str">
        <f t="shared" si="80"/>
        <v/>
      </c>
      <c r="J377" s="12" t="str">
        <f t="shared" si="81"/>
        <v/>
      </c>
      <c r="K377" s="12" t="str">
        <f t="shared" si="82"/>
        <v/>
      </c>
      <c r="L377" s="12" t="str">
        <f t="shared" si="83"/>
        <v/>
      </c>
      <c r="M377" s="12" t="str">
        <f t="shared" si="84"/>
        <v/>
      </c>
      <c r="N377" s="12" t="str">
        <f t="shared" si="85"/>
        <v/>
      </c>
      <c r="O377" s="12" t="str">
        <f t="shared" si="86"/>
        <v/>
      </c>
      <c r="P377" s="12" t="str">
        <f t="shared" si="87"/>
        <v/>
      </c>
      <c r="Q377" s="12" t="e">
        <f t="shared" si="90"/>
        <v>#VALUE!</v>
      </c>
      <c r="R377" s="39" t="str">
        <f t="shared" si="88"/>
        <v/>
      </c>
      <c r="V377" s="12" t="str">
        <f t="shared" si="78"/>
        <v/>
      </c>
      <c r="W377" s="22" t="str">
        <f t="shared" si="92"/>
        <v/>
      </c>
    </row>
    <row r="378" spans="7:23" x14ac:dyDescent="0.25">
      <c r="G378" s="12" t="str">
        <f t="shared" si="89"/>
        <v/>
      </c>
      <c r="H378" s="12" t="str">
        <f t="shared" si="79"/>
        <v/>
      </c>
      <c r="I378" s="12" t="str">
        <f t="shared" si="80"/>
        <v/>
      </c>
      <c r="J378" s="12" t="str">
        <f t="shared" si="81"/>
        <v/>
      </c>
      <c r="K378" s="12" t="str">
        <f t="shared" si="82"/>
        <v/>
      </c>
      <c r="L378" s="12" t="str">
        <f t="shared" si="83"/>
        <v/>
      </c>
      <c r="M378" s="12" t="str">
        <f t="shared" si="84"/>
        <v/>
      </c>
      <c r="N378" s="12" t="str">
        <f t="shared" si="85"/>
        <v/>
      </c>
      <c r="O378" s="12" t="str">
        <f t="shared" si="86"/>
        <v/>
      </c>
      <c r="P378" s="12" t="str">
        <f t="shared" si="87"/>
        <v/>
      </c>
      <c r="Q378" s="12" t="e">
        <f t="shared" si="90"/>
        <v>#VALUE!</v>
      </c>
      <c r="R378" s="39" t="str">
        <f t="shared" si="88"/>
        <v/>
      </c>
      <c r="V378" s="12" t="str">
        <f t="shared" si="78"/>
        <v/>
      </c>
      <c r="W378" s="22" t="str">
        <f t="shared" si="92"/>
        <v/>
      </c>
    </row>
    <row r="379" spans="7:23" x14ac:dyDescent="0.25">
      <c r="G379" s="12" t="str">
        <f t="shared" si="89"/>
        <v/>
      </c>
      <c r="H379" s="12" t="str">
        <f t="shared" si="79"/>
        <v/>
      </c>
      <c r="I379" s="12" t="str">
        <f t="shared" si="80"/>
        <v/>
      </c>
      <c r="J379" s="12" t="str">
        <f t="shared" si="81"/>
        <v/>
      </c>
      <c r="K379" s="12" t="str">
        <f t="shared" si="82"/>
        <v/>
      </c>
      <c r="L379" s="12" t="str">
        <f t="shared" si="83"/>
        <v/>
      </c>
      <c r="M379" s="12" t="str">
        <f t="shared" si="84"/>
        <v/>
      </c>
      <c r="N379" s="12" t="str">
        <f t="shared" si="85"/>
        <v/>
      </c>
      <c r="O379" s="12" t="str">
        <f t="shared" si="86"/>
        <v/>
      </c>
      <c r="P379" s="12" t="str">
        <f t="shared" si="87"/>
        <v/>
      </c>
      <c r="Q379" s="12" t="e">
        <f t="shared" si="90"/>
        <v>#VALUE!</v>
      </c>
      <c r="R379" s="39" t="str">
        <f t="shared" si="88"/>
        <v/>
      </c>
      <c r="V379" s="12" t="str">
        <f t="shared" si="78"/>
        <v/>
      </c>
      <c r="W379" s="22" t="str">
        <f t="shared" si="92"/>
        <v/>
      </c>
    </row>
    <row r="380" spans="7:23" x14ac:dyDescent="0.25">
      <c r="G380" s="12" t="str">
        <f t="shared" si="89"/>
        <v/>
      </c>
      <c r="H380" s="12" t="str">
        <f t="shared" si="79"/>
        <v/>
      </c>
      <c r="I380" s="12" t="str">
        <f t="shared" si="80"/>
        <v/>
      </c>
      <c r="J380" s="12" t="str">
        <f t="shared" si="81"/>
        <v/>
      </c>
      <c r="K380" s="12" t="str">
        <f t="shared" si="82"/>
        <v/>
      </c>
      <c r="L380" s="12" t="str">
        <f t="shared" si="83"/>
        <v/>
      </c>
      <c r="M380" s="12" t="str">
        <f t="shared" si="84"/>
        <v/>
      </c>
      <c r="N380" s="12" t="str">
        <f t="shared" si="85"/>
        <v/>
      </c>
      <c r="O380" s="12" t="str">
        <f t="shared" si="86"/>
        <v/>
      </c>
      <c r="P380" s="12" t="str">
        <f t="shared" si="87"/>
        <v/>
      </c>
      <c r="Q380" s="12" t="e">
        <f t="shared" si="90"/>
        <v>#VALUE!</v>
      </c>
      <c r="R380" s="39" t="str">
        <f t="shared" si="88"/>
        <v/>
      </c>
      <c r="V380" s="12" t="str">
        <f t="shared" si="78"/>
        <v/>
      </c>
      <c r="W380" s="22" t="str">
        <f t="shared" si="92"/>
        <v/>
      </c>
    </row>
    <row r="381" spans="7:23" x14ac:dyDescent="0.25">
      <c r="G381" s="12" t="str">
        <f t="shared" si="89"/>
        <v/>
      </c>
      <c r="H381" s="12" t="str">
        <f t="shared" si="79"/>
        <v/>
      </c>
      <c r="I381" s="12" t="str">
        <f t="shared" si="80"/>
        <v/>
      </c>
      <c r="J381" s="12" t="str">
        <f t="shared" si="81"/>
        <v/>
      </c>
      <c r="K381" s="12" t="str">
        <f t="shared" si="82"/>
        <v/>
      </c>
      <c r="L381" s="12" t="str">
        <f t="shared" si="83"/>
        <v/>
      </c>
      <c r="M381" s="12" t="str">
        <f t="shared" si="84"/>
        <v/>
      </c>
      <c r="N381" s="12" t="str">
        <f t="shared" si="85"/>
        <v/>
      </c>
      <c r="O381" s="12" t="str">
        <f t="shared" si="86"/>
        <v/>
      </c>
      <c r="P381" s="12" t="str">
        <f t="shared" si="87"/>
        <v/>
      </c>
      <c r="Q381" s="12" t="e">
        <f t="shared" si="90"/>
        <v>#VALUE!</v>
      </c>
      <c r="R381" s="39" t="str">
        <f t="shared" si="88"/>
        <v/>
      </c>
      <c r="V381" s="12" t="str">
        <f t="shared" si="78"/>
        <v/>
      </c>
      <c r="W381" s="22" t="str">
        <f t="shared" si="92"/>
        <v/>
      </c>
    </row>
    <row r="382" spans="7:23" x14ac:dyDescent="0.25">
      <c r="G382" s="12" t="str">
        <f t="shared" si="89"/>
        <v/>
      </c>
      <c r="H382" s="12" t="str">
        <f t="shared" si="79"/>
        <v/>
      </c>
      <c r="I382" s="12" t="str">
        <f t="shared" si="80"/>
        <v/>
      </c>
      <c r="J382" s="12" t="str">
        <f t="shared" si="81"/>
        <v/>
      </c>
      <c r="K382" s="12" t="str">
        <f t="shared" si="82"/>
        <v/>
      </c>
      <c r="L382" s="12" t="str">
        <f t="shared" si="83"/>
        <v/>
      </c>
      <c r="M382" s="12" t="str">
        <f t="shared" si="84"/>
        <v/>
      </c>
      <c r="N382" s="12" t="str">
        <f t="shared" si="85"/>
        <v/>
      </c>
      <c r="O382" s="12" t="str">
        <f t="shared" si="86"/>
        <v/>
      </c>
      <c r="P382" s="12" t="str">
        <f t="shared" si="87"/>
        <v/>
      </c>
      <c r="Q382" s="12" t="e">
        <f t="shared" si="90"/>
        <v>#VALUE!</v>
      </c>
      <c r="R382" s="39" t="str">
        <f t="shared" si="88"/>
        <v/>
      </c>
      <c r="V382" s="12" t="str">
        <f t="shared" si="78"/>
        <v/>
      </c>
      <c r="W382" s="22" t="str">
        <f t="shared" si="92"/>
        <v/>
      </c>
    </row>
    <row r="383" spans="7:23" x14ac:dyDescent="0.25">
      <c r="G383" s="12" t="str">
        <f t="shared" si="89"/>
        <v/>
      </c>
      <c r="H383" s="12" t="str">
        <f t="shared" si="79"/>
        <v/>
      </c>
      <c r="I383" s="12" t="str">
        <f t="shared" si="80"/>
        <v/>
      </c>
      <c r="J383" s="12" t="str">
        <f t="shared" si="81"/>
        <v/>
      </c>
      <c r="K383" s="12" t="str">
        <f t="shared" si="82"/>
        <v/>
      </c>
      <c r="L383" s="12" t="str">
        <f t="shared" si="83"/>
        <v/>
      </c>
      <c r="M383" s="12" t="str">
        <f t="shared" si="84"/>
        <v/>
      </c>
      <c r="N383" s="12" t="str">
        <f t="shared" si="85"/>
        <v/>
      </c>
      <c r="O383" s="12" t="str">
        <f t="shared" si="86"/>
        <v/>
      </c>
      <c r="P383" s="12" t="str">
        <f t="shared" si="87"/>
        <v/>
      </c>
      <c r="Q383" s="12" t="e">
        <f t="shared" si="90"/>
        <v>#VALUE!</v>
      </c>
      <c r="R383" s="39" t="str">
        <f t="shared" si="88"/>
        <v/>
      </c>
      <c r="V383" s="12" t="str">
        <f t="shared" si="78"/>
        <v/>
      </c>
      <c r="W383" s="22" t="str">
        <f t="shared" si="92"/>
        <v/>
      </c>
    </row>
    <row r="384" spans="7:23" x14ac:dyDescent="0.25">
      <c r="G384" s="12" t="str">
        <f t="shared" si="89"/>
        <v/>
      </c>
      <c r="H384" s="12" t="str">
        <f t="shared" si="79"/>
        <v/>
      </c>
      <c r="I384" s="12" t="str">
        <f t="shared" si="80"/>
        <v/>
      </c>
      <c r="J384" s="12" t="str">
        <f t="shared" si="81"/>
        <v/>
      </c>
      <c r="K384" s="12" t="str">
        <f t="shared" si="82"/>
        <v/>
      </c>
      <c r="L384" s="12" t="str">
        <f t="shared" si="83"/>
        <v/>
      </c>
      <c r="M384" s="12" t="str">
        <f t="shared" si="84"/>
        <v/>
      </c>
      <c r="N384" s="12" t="str">
        <f t="shared" si="85"/>
        <v/>
      </c>
      <c r="O384" s="12" t="str">
        <f t="shared" si="86"/>
        <v/>
      </c>
      <c r="P384" s="12" t="str">
        <f t="shared" si="87"/>
        <v/>
      </c>
      <c r="Q384" s="12" t="e">
        <f t="shared" si="90"/>
        <v>#VALUE!</v>
      </c>
      <c r="R384" s="39" t="str">
        <f t="shared" si="88"/>
        <v/>
      </c>
      <c r="V384" s="12" t="str">
        <f t="shared" si="78"/>
        <v/>
      </c>
      <c r="W384" s="22" t="str">
        <f t="shared" si="92"/>
        <v/>
      </c>
    </row>
    <row r="385" spans="7:23" x14ac:dyDescent="0.25">
      <c r="G385" s="12" t="str">
        <f t="shared" si="89"/>
        <v/>
      </c>
      <c r="H385" s="12" t="str">
        <f t="shared" si="79"/>
        <v/>
      </c>
      <c r="I385" s="12" t="str">
        <f t="shared" si="80"/>
        <v/>
      </c>
      <c r="J385" s="12" t="str">
        <f t="shared" si="81"/>
        <v/>
      </c>
      <c r="K385" s="12" t="str">
        <f t="shared" si="82"/>
        <v/>
      </c>
      <c r="L385" s="12" t="str">
        <f t="shared" si="83"/>
        <v/>
      </c>
      <c r="M385" s="12" t="str">
        <f t="shared" si="84"/>
        <v/>
      </c>
      <c r="N385" s="12" t="str">
        <f t="shared" si="85"/>
        <v/>
      </c>
      <c r="O385" s="12" t="str">
        <f t="shared" si="86"/>
        <v/>
      </c>
      <c r="P385" s="12" t="str">
        <f t="shared" si="87"/>
        <v/>
      </c>
      <c r="Q385" s="12" t="e">
        <f t="shared" si="90"/>
        <v>#VALUE!</v>
      </c>
      <c r="R385" s="39" t="str">
        <f t="shared" si="88"/>
        <v/>
      </c>
      <c r="V385" s="12" t="str">
        <f t="shared" si="78"/>
        <v/>
      </c>
      <c r="W385" s="22" t="str">
        <f t="shared" si="92"/>
        <v/>
      </c>
    </row>
    <row r="386" spans="7:23" x14ac:dyDescent="0.25">
      <c r="G386" s="12" t="str">
        <f t="shared" si="89"/>
        <v/>
      </c>
      <c r="H386" s="12" t="str">
        <f t="shared" si="79"/>
        <v/>
      </c>
      <c r="I386" s="12" t="str">
        <f t="shared" si="80"/>
        <v/>
      </c>
      <c r="J386" s="12" t="str">
        <f t="shared" si="81"/>
        <v/>
      </c>
      <c r="K386" s="12" t="str">
        <f t="shared" si="82"/>
        <v/>
      </c>
      <c r="L386" s="12" t="str">
        <f t="shared" si="83"/>
        <v/>
      </c>
      <c r="M386" s="12" t="str">
        <f t="shared" si="84"/>
        <v/>
      </c>
      <c r="N386" s="12" t="str">
        <f t="shared" si="85"/>
        <v/>
      </c>
      <c r="O386" s="12" t="str">
        <f t="shared" si="86"/>
        <v/>
      </c>
      <c r="P386" s="12" t="str">
        <f t="shared" si="87"/>
        <v/>
      </c>
      <c r="Q386" s="12" t="e">
        <f t="shared" si="90"/>
        <v>#VALUE!</v>
      </c>
      <c r="R386" s="39" t="str">
        <f t="shared" si="88"/>
        <v/>
      </c>
      <c r="V386" s="12" t="str">
        <f t="shared" si="78"/>
        <v/>
      </c>
      <c r="W386" s="22" t="str">
        <f t="shared" si="92"/>
        <v/>
      </c>
    </row>
    <row r="387" spans="7:23" x14ac:dyDescent="0.25">
      <c r="G387" s="12" t="str">
        <f t="shared" si="89"/>
        <v/>
      </c>
      <c r="H387" s="12" t="str">
        <f t="shared" si="79"/>
        <v/>
      </c>
      <c r="I387" s="12" t="str">
        <f t="shared" si="80"/>
        <v/>
      </c>
      <c r="J387" s="12" t="str">
        <f t="shared" si="81"/>
        <v/>
      </c>
      <c r="K387" s="12" t="str">
        <f t="shared" si="82"/>
        <v/>
      </c>
      <c r="L387" s="12" t="str">
        <f t="shared" si="83"/>
        <v/>
      </c>
      <c r="M387" s="12" t="str">
        <f t="shared" si="84"/>
        <v/>
      </c>
      <c r="N387" s="12" t="str">
        <f t="shared" si="85"/>
        <v/>
      </c>
      <c r="O387" s="12" t="str">
        <f t="shared" si="86"/>
        <v/>
      </c>
      <c r="P387" s="12" t="str">
        <f t="shared" si="87"/>
        <v/>
      </c>
      <c r="Q387" s="12" t="e">
        <f t="shared" si="90"/>
        <v>#VALUE!</v>
      </c>
      <c r="R387" s="39" t="str">
        <f t="shared" si="88"/>
        <v/>
      </c>
      <c r="V387" s="12" t="str">
        <f t="shared" si="78"/>
        <v/>
      </c>
      <c r="W387" s="22" t="str">
        <f t="shared" si="92"/>
        <v/>
      </c>
    </row>
    <row r="388" spans="7:23" x14ac:dyDescent="0.25">
      <c r="G388" s="12" t="str">
        <f t="shared" si="89"/>
        <v/>
      </c>
      <c r="H388" s="12" t="str">
        <f t="shared" si="79"/>
        <v/>
      </c>
      <c r="I388" s="12" t="str">
        <f t="shared" si="80"/>
        <v/>
      </c>
      <c r="J388" s="12" t="str">
        <f t="shared" si="81"/>
        <v/>
      </c>
      <c r="K388" s="12" t="str">
        <f t="shared" si="82"/>
        <v/>
      </c>
      <c r="L388" s="12" t="str">
        <f t="shared" si="83"/>
        <v/>
      </c>
      <c r="M388" s="12" t="str">
        <f t="shared" si="84"/>
        <v/>
      </c>
      <c r="N388" s="12" t="str">
        <f t="shared" si="85"/>
        <v/>
      </c>
      <c r="O388" s="12" t="str">
        <f t="shared" si="86"/>
        <v/>
      </c>
      <c r="P388" s="12" t="str">
        <f t="shared" si="87"/>
        <v/>
      </c>
      <c r="Q388" s="12" t="e">
        <f t="shared" si="90"/>
        <v>#VALUE!</v>
      </c>
      <c r="R388" s="39" t="str">
        <f t="shared" si="88"/>
        <v/>
      </c>
      <c r="V388" s="12" t="str">
        <f t="shared" si="78"/>
        <v/>
      </c>
      <c r="W388" s="22" t="str">
        <f t="shared" si="92"/>
        <v/>
      </c>
    </row>
    <row r="389" spans="7:23" x14ac:dyDescent="0.25">
      <c r="G389" s="12" t="str">
        <f t="shared" si="89"/>
        <v/>
      </c>
      <c r="H389" s="12" t="str">
        <f t="shared" si="79"/>
        <v/>
      </c>
      <c r="I389" s="12" t="str">
        <f t="shared" si="80"/>
        <v/>
      </c>
      <c r="J389" s="12" t="str">
        <f t="shared" si="81"/>
        <v/>
      </c>
      <c r="K389" s="12" t="str">
        <f t="shared" si="82"/>
        <v/>
      </c>
      <c r="L389" s="12" t="str">
        <f t="shared" si="83"/>
        <v/>
      </c>
      <c r="M389" s="12" t="str">
        <f t="shared" si="84"/>
        <v/>
      </c>
      <c r="N389" s="12" t="str">
        <f t="shared" si="85"/>
        <v/>
      </c>
      <c r="O389" s="12" t="str">
        <f t="shared" si="86"/>
        <v/>
      </c>
      <c r="P389" s="12" t="str">
        <f t="shared" si="87"/>
        <v/>
      </c>
      <c r="Q389" s="12" t="e">
        <f t="shared" si="90"/>
        <v>#VALUE!</v>
      </c>
      <c r="R389" s="39" t="str">
        <f t="shared" si="88"/>
        <v/>
      </c>
      <c r="V389" s="12" t="str">
        <f t="shared" si="78"/>
        <v/>
      </c>
      <c r="W389" s="22" t="str">
        <f t="shared" si="92"/>
        <v/>
      </c>
    </row>
    <row r="390" spans="7:23" x14ac:dyDescent="0.25">
      <c r="G390" s="12" t="str">
        <f t="shared" si="89"/>
        <v/>
      </c>
      <c r="H390" s="12" t="str">
        <f t="shared" si="79"/>
        <v/>
      </c>
      <c r="I390" s="12" t="str">
        <f t="shared" si="80"/>
        <v/>
      </c>
      <c r="J390" s="12" t="str">
        <f t="shared" si="81"/>
        <v/>
      </c>
      <c r="K390" s="12" t="str">
        <f t="shared" si="82"/>
        <v/>
      </c>
      <c r="L390" s="12" t="str">
        <f t="shared" si="83"/>
        <v/>
      </c>
      <c r="M390" s="12" t="str">
        <f t="shared" si="84"/>
        <v/>
      </c>
      <c r="N390" s="12" t="str">
        <f t="shared" si="85"/>
        <v/>
      </c>
      <c r="O390" s="12" t="str">
        <f t="shared" si="86"/>
        <v/>
      </c>
      <c r="P390" s="12" t="str">
        <f t="shared" si="87"/>
        <v/>
      </c>
      <c r="Q390" s="12" t="e">
        <f t="shared" si="90"/>
        <v>#VALUE!</v>
      </c>
      <c r="R390" s="39" t="str">
        <f t="shared" si="88"/>
        <v/>
      </c>
      <c r="V390" s="12" t="str">
        <f t="shared" si="78"/>
        <v/>
      </c>
      <c r="W390" s="22" t="str">
        <f t="shared" si="92"/>
        <v/>
      </c>
    </row>
    <row r="391" spans="7:23" x14ac:dyDescent="0.25">
      <c r="G391" s="12" t="str">
        <f t="shared" si="89"/>
        <v/>
      </c>
      <c r="H391" s="12" t="str">
        <f t="shared" si="79"/>
        <v/>
      </c>
      <c r="I391" s="12" t="str">
        <f t="shared" si="80"/>
        <v/>
      </c>
      <c r="J391" s="12" t="str">
        <f t="shared" si="81"/>
        <v/>
      </c>
      <c r="K391" s="12" t="str">
        <f t="shared" si="82"/>
        <v/>
      </c>
      <c r="L391" s="12" t="str">
        <f t="shared" si="83"/>
        <v/>
      </c>
      <c r="M391" s="12" t="str">
        <f t="shared" si="84"/>
        <v/>
      </c>
      <c r="N391" s="12" t="str">
        <f t="shared" si="85"/>
        <v/>
      </c>
      <c r="O391" s="12" t="str">
        <f t="shared" si="86"/>
        <v/>
      </c>
      <c r="P391" s="12" t="str">
        <f t="shared" si="87"/>
        <v/>
      </c>
      <c r="Q391" s="12" t="e">
        <f t="shared" si="90"/>
        <v>#VALUE!</v>
      </c>
      <c r="R391" s="39" t="str">
        <f t="shared" si="88"/>
        <v/>
      </c>
      <c r="V391" s="12" t="str">
        <f t="shared" si="78"/>
        <v/>
      </c>
      <c r="W391" s="22" t="str">
        <f t="shared" si="92"/>
        <v/>
      </c>
    </row>
    <row r="392" spans="7:23" x14ac:dyDescent="0.25">
      <c r="G392" s="12" t="str">
        <f t="shared" si="89"/>
        <v/>
      </c>
      <c r="H392" s="12" t="str">
        <f t="shared" si="79"/>
        <v/>
      </c>
      <c r="I392" s="12" t="str">
        <f t="shared" si="80"/>
        <v/>
      </c>
      <c r="J392" s="12" t="str">
        <f t="shared" si="81"/>
        <v/>
      </c>
      <c r="K392" s="12" t="str">
        <f t="shared" si="82"/>
        <v/>
      </c>
      <c r="L392" s="12" t="str">
        <f t="shared" si="83"/>
        <v/>
      </c>
      <c r="M392" s="12" t="str">
        <f t="shared" si="84"/>
        <v/>
      </c>
      <c r="N392" s="12" t="str">
        <f t="shared" si="85"/>
        <v/>
      </c>
      <c r="O392" s="12" t="str">
        <f t="shared" si="86"/>
        <v/>
      </c>
      <c r="P392" s="12" t="str">
        <f t="shared" si="87"/>
        <v/>
      </c>
      <c r="Q392" s="12" t="e">
        <f t="shared" si="90"/>
        <v>#VALUE!</v>
      </c>
      <c r="R392" s="39" t="str">
        <f t="shared" si="88"/>
        <v/>
      </c>
      <c r="V392" s="12" t="str">
        <f t="shared" si="78"/>
        <v/>
      </c>
      <c r="W392" s="22" t="str">
        <f t="shared" si="92"/>
        <v/>
      </c>
    </row>
    <row r="393" spans="7:23" x14ac:dyDescent="0.25">
      <c r="G393" s="12" t="str">
        <f t="shared" si="89"/>
        <v/>
      </c>
      <c r="H393" s="12" t="str">
        <f t="shared" si="79"/>
        <v/>
      </c>
      <c r="I393" s="12" t="str">
        <f t="shared" si="80"/>
        <v/>
      </c>
      <c r="J393" s="12" t="str">
        <f t="shared" si="81"/>
        <v/>
      </c>
      <c r="K393" s="12" t="str">
        <f t="shared" si="82"/>
        <v/>
      </c>
      <c r="L393" s="12" t="str">
        <f t="shared" si="83"/>
        <v/>
      </c>
      <c r="M393" s="12" t="str">
        <f t="shared" si="84"/>
        <v/>
      </c>
      <c r="N393" s="12" t="str">
        <f t="shared" si="85"/>
        <v/>
      </c>
      <c r="O393" s="12" t="str">
        <f t="shared" si="86"/>
        <v/>
      </c>
      <c r="P393" s="12" t="str">
        <f t="shared" si="87"/>
        <v/>
      </c>
      <c r="Q393" s="12" t="e">
        <f t="shared" si="90"/>
        <v>#VALUE!</v>
      </c>
      <c r="R393" s="39" t="str">
        <f t="shared" si="88"/>
        <v/>
      </c>
      <c r="V393" s="12" t="str">
        <f t="shared" si="78"/>
        <v/>
      </c>
      <c r="W393" s="22" t="str">
        <f t="shared" si="92"/>
        <v/>
      </c>
    </row>
    <row r="394" spans="7:23" x14ac:dyDescent="0.25">
      <c r="G394" s="12" t="str">
        <f t="shared" si="89"/>
        <v/>
      </c>
      <c r="H394" s="12" t="str">
        <f t="shared" si="79"/>
        <v/>
      </c>
      <c r="I394" s="12" t="str">
        <f t="shared" si="80"/>
        <v/>
      </c>
      <c r="J394" s="12" t="str">
        <f t="shared" si="81"/>
        <v/>
      </c>
      <c r="K394" s="12" t="str">
        <f t="shared" si="82"/>
        <v/>
      </c>
      <c r="L394" s="12" t="str">
        <f t="shared" si="83"/>
        <v/>
      </c>
      <c r="M394" s="12" t="str">
        <f t="shared" si="84"/>
        <v/>
      </c>
      <c r="N394" s="12" t="str">
        <f t="shared" si="85"/>
        <v/>
      </c>
      <c r="O394" s="12" t="str">
        <f t="shared" si="86"/>
        <v/>
      </c>
      <c r="P394" s="12" t="str">
        <f t="shared" si="87"/>
        <v/>
      </c>
      <c r="Q394" s="12" t="e">
        <f t="shared" si="90"/>
        <v>#VALUE!</v>
      </c>
      <c r="R394" s="39" t="str">
        <f t="shared" si="88"/>
        <v/>
      </c>
      <c r="V394" s="12" t="str">
        <f t="shared" si="78"/>
        <v/>
      </c>
      <c r="W394" s="22" t="str">
        <f t="shared" si="92"/>
        <v/>
      </c>
    </row>
    <row r="395" spans="7:23" x14ac:dyDescent="0.25">
      <c r="G395" s="12" t="str">
        <f t="shared" si="89"/>
        <v/>
      </c>
      <c r="H395" s="12" t="str">
        <f t="shared" si="79"/>
        <v/>
      </c>
      <c r="I395" s="12" t="str">
        <f t="shared" si="80"/>
        <v/>
      </c>
      <c r="J395" s="12" t="str">
        <f t="shared" si="81"/>
        <v/>
      </c>
      <c r="K395" s="12" t="str">
        <f t="shared" si="82"/>
        <v/>
      </c>
      <c r="L395" s="12" t="str">
        <f t="shared" si="83"/>
        <v/>
      </c>
      <c r="M395" s="12" t="str">
        <f t="shared" si="84"/>
        <v/>
      </c>
      <c r="N395" s="12" t="str">
        <f t="shared" si="85"/>
        <v/>
      </c>
      <c r="O395" s="12" t="str">
        <f t="shared" si="86"/>
        <v/>
      </c>
      <c r="P395" s="12" t="str">
        <f t="shared" si="87"/>
        <v/>
      </c>
      <c r="Q395" s="12" t="e">
        <f t="shared" si="90"/>
        <v>#VALUE!</v>
      </c>
      <c r="R395" s="39" t="str">
        <f t="shared" si="88"/>
        <v/>
      </c>
      <c r="V395" s="12" t="str">
        <f t="shared" si="78"/>
        <v/>
      </c>
      <c r="W395" s="22" t="str">
        <f t="shared" si="92"/>
        <v/>
      </c>
    </row>
    <row r="396" spans="7:23" x14ac:dyDescent="0.25">
      <c r="G396" s="12" t="str">
        <f t="shared" si="89"/>
        <v/>
      </c>
      <c r="H396" s="12" t="str">
        <f t="shared" si="79"/>
        <v/>
      </c>
      <c r="I396" s="12" t="str">
        <f t="shared" si="80"/>
        <v/>
      </c>
      <c r="J396" s="12" t="str">
        <f t="shared" si="81"/>
        <v/>
      </c>
      <c r="K396" s="12" t="str">
        <f t="shared" si="82"/>
        <v/>
      </c>
      <c r="L396" s="12" t="str">
        <f t="shared" si="83"/>
        <v/>
      </c>
      <c r="M396" s="12" t="str">
        <f t="shared" si="84"/>
        <v/>
      </c>
      <c r="N396" s="12" t="str">
        <f t="shared" si="85"/>
        <v/>
      </c>
      <c r="O396" s="12" t="str">
        <f t="shared" si="86"/>
        <v/>
      </c>
      <c r="P396" s="12" t="str">
        <f t="shared" si="87"/>
        <v/>
      </c>
      <c r="Q396" s="12" t="e">
        <f t="shared" si="90"/>
        <v>#VALUE!</v>
      </c>
      <c r="R396" s="39" t="str">
        <f t="shared" si="88"/>
        <v/>
      </c>
      <c r="V396" s="12" t="str">
        <f t="shared" si="78"/>
        <v/>
      </c>
      <c r="W396" s="22" t="str">
        <f t="shared" si="92"/>
        <v/>
      </c>
    </row>
    <row r="397" spans="7:23" x14ac:dyDescent="0.25">
      <c r="G397" s="12" t="str">
        <f t="shared" si="89"/>
        <v/>
      </c>
      <c r="H397" s="12" t="str">
        <f t="shared" si="79"/>
        <v/>
      </c>
      <c r="I397" s="12" t="str">
        <f t="shared" si="80"/>
        <v/>
      </c>
      <c r="J397" s="12" t="str">
        <f t="shared" si="81"/>
        <v/>
      </c>
      <c r="K397" s="12" t="str">
        <f t="shared" si="82"/>
        <v/>
      </c>
      <c r="L397" s="12" t="str">
        <f t="shared" si="83"/>
        <v/>
      </c>
      <c r="M397" s="12" t="str">
        <f t="shared" si="84"/>
        <v/>
      </c>
      <c r="N397" s="12" t="str">
        <f t="shared" si="85"/>
        <v/>
      </c>
      <c r="O397" s="12" t="str">
        <f t="shared" si="86"/>
        <v/>
      </c>
      <c r="P397" s="12" t="str">
        <f t="shared" si="87"/>
        <v/>
      </c>
      <c r="Q397" s="12" t="e">
        <f t="shared" si="90"/>
        <v>#VALUE!</v>
      </c>
      <c r="R397" s="39" t="str">
        <f t="shared" si="88"/>
        <v/>
      </c>
      <c r="V397" s="12" t="str">
        <f t="shared" si="78"/>
        <v/>
      </c>
      <c r="W397" s="22" t="str">
        <f t="shared" si="92"/>
        <v/>
      </c>
    </row>
    <row r="398" spans="7:23" x14ac:dyDescent="0.25">
      <c r="G398" s="12" t="str">
        <f t="shared" si="89"/>
        <v/>
      </c>
      <c r="H398" s="12" t="str">
        <f t="shared" si="79"/>
        <v/>
      </c>
      <c r="I398" s="12" t="str">
        <f t="shared" si="80"/>
        <v/>
      </c>
      <c r="J398" s="12" t="str">
        <f t="shared" si="81"/>
        <v/>
      </c>
      <c r="K398" s="12" t="str">
        <f t="shared" si="82"/>
        <v/>
      </c>
      <c r="L398" s="12" t="str">
        <f t="shared" si="83"/>
        <v/>
      </c>
      <c r="M398" s="12" t="str">
        <f t="shared" si="84"/>
        <v/>
      </c>
      <c r="N398" s="12" t="str">
        <f t="shared" si="85"/>
        <v/>
      </c>
      <c r="O398" s="12" t="str">
        <f t="shared" si="86"/>
        <v/>
      </c>
      <c r="P398" s="12" t="str">
        <f t="shared" si="87"/>
        <v/>
      </c>
      <c r="Q398" s="12" t="e">
        <f t="shared" si="90"/>
        <v>#VALUE!</v>
      </c>
      <c r="R398" s="39" t="str">
        <f t="shared" si="88"/>
        <v/>
      </c>
      <c r="V398" s="12" t="str">
        <f t="shared" si="78"/>
        <v/>
      </c>
      <c r="W398" s="22" t="str">
        <f t="shared" si="92"/>
        <v/>
      </c>
    </row>
    <row r="399" spans="7:23" x14ac:dyDescent="0.25">
      <c r="G399" s="12" t="str">
        <f t="shared" si="89"/>
        <v/>
      </c>
      <c r="H399" s="12" t="str">
        <f t="shared" si="79"/>
        <v/>
      </c>
      <c r="I399" s="12" t="str">
        <f t="shared" si="80"/>
        <v/>
      </c>
      <c r="J399" s="12" t="str">
        <f t="shared" si="81"/>
        <v/>
      </c>
      <c r="K399" s="12" t="str">
        <f t="shared" si="82"/>
        <v/>
      </c>
      <c r="L399" s="12" t="str">
        <f t="shared" si="83"/>
        <v/>
      </c>
      <c r="M399" s="12" t="str">
        <f t="shared" si="84"/>
        <v/>
      </c>
      <c r="N399" s="12" t="str">
        <f t="shared" si="85"/>
        <v/>
      </c>
      <c r="O399" s="12" t="str">
        <f t="shared" si="86"/>
        <v/>
      </c>
      <c r="P399" s="12" t="str">
        <f t="shared" si="87"/>
        <v/>
      </c>
      <c r="Q399" s="12" t="e">
        <f t="shared" si="90"/>
        <v>#VALUE!</v>
      </c>
      <c r="R399" s="39" t="str">
        <f t="shared" si="88"/>
        <v/>
      </c>
      <c r="V399" s="12" t="str">
        <f t="shared" si="78"/>
        <v/>
      </c>
      <c r="W399" s="22" t="str">
        <f t="shared" si="92"/>
        <v/>
      </c>
    </row>
    <row r="400" spans="7:23" x14ac:dyDescent="0.25">
      <c r="G400" s="12" t="str">
        <f t="shared" si="89"/>
        <v/>
      </c>
      <c r="H400" s="12" t="str">
        <f t="shared" si="79"/>
        <v/>
      </c>
      <c r="I400" s="12" t="str">
        <f t="shared" si="80"/>
        <v/>
      </c>
      <c r="J400" s="12" t="str">
        <f t="shared" si="81"/>
        <v/>
      </c>
      <c r="K400" s="12" t="str">
        <f t="shared" si="82"/>
        <v/>
      </c>
      <c r="L400" s="12" t="str">
        <f t="shared" si="83"/>
        <v/>
      </c>
      <c r="M400" s="12" t="str">
        <f t="shared" si="84"/>
        <v/>
      </c>
      <c r="N400" s="12" t="str">
        <f t="shared" si="85"/>
        <v/>
      </c>
      <c r="O400" s="12" t="str">
        <f t="shared" si="86"/>
        <v/>
      </c>
      <c r="P400" s="12" t="str">
        <f t="shared" si="87"/>
        <v/>
      </c>
      <c r="Q400" s="12" t="e">
        <f t="shared" si="90"/>
        <v>#VALUE!</v>
      </c>
      <c r="R400" s="39" t="str">
        <f t="shared" si="88"/>
        <v/>
      </c>
      <c r="V400" s="12" t="str">
        <f t="shared" si="78"/>
        <v/>
      </c>
      <c r="W400" s="22" t="str">
        <f t="shared" si="92"/>
        <v/>
      </c>
    </row>
    <row r="401" spans="7:23" x14ac:dyDescent="0.25">
      <c r="G401" s="12" t="str">
        <f t="shared" si="89"/>
        <v/>
      </c>
      <c r="H401" s="12" t="str">
        <f t="shared" si="79"/>
        <v/>
      </c>
      <c r="I401" s="12" t="str">
        <f t="shared" si="80"/>
        <v/>
      </c>
      <c r="J401" s="12" t="str">
        <f t="shared" si="81"/>
        <v/>
      </c>
      <c r="K401" s="12" t="str">
        <f t="shared" si="82"/>
        <v/>
      </c>
      <c r="L401" s="12" t="str">
        <f t="shared" si="83"/>
        <v/>
      </c>
      <c r="M401" s="12" t="str">
        <f t="shared" si="84"/>
        <v/>
      </c>
      <c r="N401" s="12" t="str">
        <f t="shared" si="85"/>
        <v/>
      </c>
      <c r="O401" s="12" t="str">
        <f t="shared" si="86"/>
        <v/>
      </c>
      <c r="P401" s="12" t="str">
        <f t="shared" si="87"/>
        <v/>
      </c>
      <c r="Q401" s="12" t="e">
        <f t="shared" si="90"/>
        <v>#VALUE!</v>
      </c>
      <c r="R401" s="39" t="str">
        <f t="shared" si="88"/>
        <v/>
      </c>
      <c r="V401" s="12" t="str">
        <f t="shared" ref="V401:V464" si="93">H401</f>
        <v/>
      </c>
      <c r="W401" s="22" t="str">
        <f t="shared" si="92"/>
        <v/>
      </c>
    </row>
    <row r="402" spans="7:23" x14ac:dyDescent="0.25">
      <c r="G402" s="12" t="str">
        <f t="shared" si="89"/>
        <v/>
      </c>
      <c r="H402" s="12" t="str">
        <f t="shared" ref="H402:H465" si="94">IFERROR(IF(E402=1,Q402,""),"")</f>
        <v/>
      </c>
      <c r="I402" s="12" t="str">
        <f t="shared" ref="I402:I465" si="95">IFERROR(IF(E402=2,Q402,""),"")</f>
        <v/>
      </c>
      <c r="J402" s="12" t="str">
        <f t="shared" ref="J402:J465" si="96">IFERROR(IF(E402=3,Q402,""),"")</f>
        <v/>
      </c>
      <c r="K402" s="12" t="str">
        <f t="shared" ref="K402:K465" si="97">IFERROR(IF(E402=4,Q402,""),"")</f>
        <v/>
      </c>
      <c r="L402" s="12" t="str">
        <f t="shared" ref="L402:L465" si="98">IFERROR(IF(E402=5,Q402,""),"")</f>
        <v/>
      </c>
      <c r="M402" s="12" t="str">
        <f t="shared" ref="M402:M465" si="99">IFERROR(IF(E402=6,Q402,""),"")</f>
        <v/>
      </c>
      <c r="N402" s="12" t="str">
        <f t="shared" ref="N402:N465" si="100">IFERROR(IF(E402=7,Q402,""),"")</f>
        <v/>
      </c>
      <c r="O402" s="12" t="str">
        <f t="shared" ref="O402:O465" si="101">IFERROR(IF(E402=8,Q402,""),"")</f>
        <v/>
      </c>
      <c r="P402" s="12" t="str">
        <f t="shared" ref="P402:P465" si="102">IFERROR(IF(E402=9,Q402,""),"")</f>
        <v/>
      </c>
      <c r="Q402" s="12" t="e">
        <f t="shared" si="90"/>
        <v>#VALUE!</v>
      </c>
      <c r="R402" s="39" t="str">
        <f t="shared" si="88"/>
        <v/>
      </c>
      <c r="V402" s="12" t="str">
        <f t="shared" si="93"/>
        <v/>
      </c>
      <c r="W402" s="22" t="str">
        <f t="shared" si="92"/>
        <v/>
      </c>
    </row>
    <row r="403" spans="7:23" x14ac:dyDescent="0.25">
      <c r="G403" s="12" t="str">
        <f t="shared" si="89"/>
        <v/>
      </c>
      <c r="H403" s="12" t="str">
        <f t="shared" si="94"/>
        <v/>
      </c>
      <c r="I403" s="12" t="str">
        <f t="shared" si="95"/>
        <v/>
      </c>
      <c r="J403" s="12" t="str">
        <f t="shared" si="96"/>
        <v/>
      </c>
      <c r="K403" s="12" t="str">
        <f t="shared" si="97"/>
        <v/>
      </c>
      <c r="L403" s="12" t="str">
        <f t="shared" si="98"/>
        <v/>
      </c>
      <c r="M403" s="12" t="str">
        <f t="shared" si="99"/>
        <v/>
      </c>
      <c r="N403" s="12" t="str">
        <f t="shared" si="100"/>
        <v/>
      </c>
      <c r="O403" s="12" t="str">
        <f t="shared" si="101"/>
        <v/>
      </c>
      <c r="P403" s="12" t="str">
        <f t="shared" si="102"/>
        <v/>
      </c>
      <c r="Q403" s="12" t="e">
        <f t="shared" si="90"/>
        <v>#VALUE!</v>
      </c>
      <c r="R403" s="39" t="str">
        <f t="shared" si="88"/>
        <v/>
      </c>
      <c r="V403" s="12" t="str">
        <f t="shared" si="93"/>
        <v/>
      </c>
      <c r="W403" s="22" t="str">
        <f t="shared" si="92"/>
        <v/>
      </c>
    </row>
    <row r="404" spans="7:23" x14ac:dyDescent="0.25">
      <c r="G404" s="12" t="str">
        <f t="shared" si="89"/>
        <v/>
      </c>
      <c r="H404" s="12" t="str">
        <f t="shared" si="94"/>
        <v/>
      </c>
      <c r="I404" s="12" t="str">
        <f t="shared" si="95"/>
        <v/>
      </c>
      <c r="J404" s="12" t="str">
        <f t="shared" si="96"/>
        <v/>
      </c>
      <c r="K404" s="12" t="str">
        <f t="shared" si="97"/>
        <v/>
      </c>
      <c r="L404" s="12" t="str">
        <f t="shared" si="98"/>
        <v/>
      </c>
      <c r="M404" s="12" t="str">
        <f t="shared" si="99"/>
        <v/>
      </c>
      <c r="N404" s="12" t="str">
        <f t="shared" si="100"/>
        <v/>
      </c>
      <c r="O404" s="12" t="str">
        <f t="shared" si="101"/>
        <v/>
      </c>
      <c r="P404" s="12" t="str">
        <f t="shared" si="102"/>
        <v/>
      </c>
      <c r="Q404" s="12" t="e">
        <f t="shared" si="90"/>
        <v>#VALUE!</v>
      </c>
      <c r="R404" s="39" t="str">
        <f t="shared" ref="R404" si="103">IF(H404="","",HOUR(H404)*60+MINUTE(H404)+SECOND(H404)/60)</f>
        <v/>
      </c>
      <c r="V404" s="12" t="str">
        <f t="shared" si="93"/>
        <v/>
      </c>
      <c r="W404" s="22" t="str">
        <f t="shared" si="92"/>
        <v/>
      </c>
    </row>
    <row r="405" spans="7:23" x14ac:dyDescent="0.25">
      <c r="G405" s="12" t="str">
        <f t="shared" si="89"/>
        <v/>
      </c>
      <c r="H405" s="12" t="str">
        <f t="shared" si="94"/>
        <v/>
      </c>
      <c r="I405" s="12" t="str">
        <f t="shared" si="95"/>
        <v/>
      </c>
      <c r="J405" s="12" t="str">
        <f t="shared" si="96"/>
        <v/>
      </c>
      <c r="K405" s="12" t="str">
        <f t="shared" si="97"/>
        <v/>
      </c>
      <c r="L405" s="12" t="str">
        <f t="shared" si="98"/>
        <v/>
      </c>
      <c r="M405" s="12" t="str">
        <f t="shared" si="99"/>
        <v/>
      </c>
      <c r="N405" s="12" t="str">
        <f t="shared" si="100"/>
        <v/>
      </c>
      <c r="O405" s="12" t="str">
        <f t="shared" si="101"/>
        <v/>
      </c>
      <c r="P405" s="12" t="str">
        <f t="shared" si="102"/>
        <v/>
      </c>
      <c r="Q405" s="12" t="e">
        <f t="shared" si="90"/>
        <v>#VALUE!</v>
      </c>
      <c r="R405" s="39" t="str">
        <f>IF(H405="","",HOUR(H405)*60+MINUTE(H405)+SECOND(H405)/60)</f>
        <v/>
      </c>
      <c r="V405" s="12" t="str">
        <f t="shared" si="93"/>
        <v/>
      </c>
      <c r="W405" s="22" t="str">
        <f t="shared" si="92"/>
        <v/>
      </c>
    </row>
    <row r="406" spans="7:23" x14ac:dyDescent="0.25">
      <c r="G406" s="12" t="str">
        <f t="shared" ref="G406:G469" si="104">IF(LEN(F406)=5,TIMEVALUE(LEFT(F406,1)&amp;":"&amp;MID(F406,2,2)&amp;":"&amp;RIGHT(F406,2)),IF(LEN(F406)=6,TIMEVALUE(LEFT(F406,2)&amp;":"&amp;MID(F406,3,2)&amp;":"&amp;RIGHT(F406,2)),""))</f>
        <v/>
      </c>
      <c r="H406" s="12" t="str">
        <f t="shared" si="94"/>
        <v/>
      </c>
      <c r="I406" s="12" t="str">
        <f t="shared" si="95"/>
        <v/>
      </c>
      <c r="J406" s="12" t="str">
        <f t="shared" si="96"/>
        <v/>
      </c>
      <c r="K406" s="12" t="str">
        <f t="shared" si="97"/>
        <v/>
      </c>
      <c r="L406" s="12" t="str">
        <f t="shared" si="98"/>
        <v/>
      </c>
      <c r="M406" s="12" t="str">
        <f t="shared" si="99"/>
        <v/>
      </c>
      <c r="N406" s="12" t="str">
        <f t="shared" si="100"/>
        <v/>
      </c>
      <c r="O406" s="12" t="str">
        <f t="shared" si="101"/>
        <v/>
      </c>
      <c r="P406" s="12" t="str">
        <f t="shared" si="102"/>
        <v/>
      </c>
      <c r="Q406" s="12" t="e">
        <f t="shared" si="90"/>
        <v>#VALUE!</v>
      </c>
      <c r="R406" s="39" t="str">
        <f t="shared" ref="R406:R469" si="105">IF(H406="","",HOUR(H406)*60+MINUTE(H406)+SECOND(H406)/60)</f>
        <v/>
      </c>
      <c r="V406" s="12" t="str">
        <f t="shared" si="93"/>
        <v/>
      </c>
      <c r="W406" s="22" t="str">
        <f t="shared" si="92"/>
        <v/>
      </c>
    </row>
    <row r="407" spans="7:23" x14ac:dyDescent="0.25">
      <c r="G407" s="12" t="str">
        <f t="shared" si="104"/>
        <v/>
      </c>
      <c r="H407" s="12" t="str">
        <f t="shared" si="94"/>
        <v/>
      </c>
      <c r="I407" s="12" t="str">
        <f t="shared" si="95"/>
        <v/>
      </c>
      <c r="J407" s="12" t="str">
        <f t="shared" si="96"/>
        <v/>
      </c>
      <c r="K407" s="12" t="str">
        <f t="shared" si="97"/>
        <v/>
      </c>
      <c r="L407" s="12" t="str">
        <f t="shared" si="98"/>
        <v/>
      </c>
      <c r="M407" s="12" t="str">
        <f t="shared" si="99"/>
        <v/>
      </c>
      <c r="N407" s="12" t="str">
        <f t="shared" si="100"/>
        <v/>
      </c>
      <c r="O407" s="12" t="str">
        <f t="shared" si="101"/>
        <v/>
      </c>
      <c r="P407" s="12" t="str">
        <f t="shared" si="102"/>
        <v/>
      </c>
      <c r="Q407" s="12" t="e">
        <f t="shared" si="90"/>
        <v>#VALUE!</v>
      </c>
      <c r="R407" s="39" t="str">
        <f t="shared" si="105"/>
        <v/>
      </c>
      <c r="V407" s="12" t="str">
        <f t="shared" si="93"/>
        <v/>
      </c>
      <c r="W407" s="22" t="str">
        <f t="shared" si="92"/>
        <v/>
      </c>
    </row>
    <row r="408" spans="7:23" x14ac:dyDescent="0.25">
      <c r="G408" s="12" t="str">
        <f t="shared" si="104"/>
        <v/>
      </c>
      <c r="H408" s="12" t="str">
        <f t="shared" si="94"/>
        <v/>
      </c>
      <c r="I408" s="12" t="str">
        <f t="shared" si="95"/>
        <v/>
      </c>
      <c r="J408" s="12" t="str">
        <f t="shared" si="96"/>
        <v/>
      </c>
      <c r="K408" s="12" t="str">
        <f t="shared" si="97"/>
        <v/>
      </c>
      <c r="L408" s="12" t="str">
        <f t="shared" si="98"/>
        <v/>
      </c>
      <c r="M408" s="12" t="str">
        <f t="shared" si="99"/>
        <v/>
      </c>
      <c r="N408" s="12" t="str">
        <f t="shared" si="100"/>
        <v/>
      </c>
      <c r="O408" s="12" t="str">
        <f t="shared" si="101"/>
        <v/>
      </c>
      <c r="P408" s="12" t="str">
        <f t="shared" si="102"/>
        <v/>
      </c>
      <c r="Q408" s="12" t="e">
        <f t="shared" si="90"/>
        <v>#VALUE!</v>
      </c>
      <c r="R408" s="39" t="str">
        <f t="shared" si="105"/>
        <v/>
      </c>
      <c r="V408" s="12" t="str">
        <f t="shared" si="93"/>
        <v/>
      </c>
      <c r="W408" s="22" t="str">
        <f t="shared" si="92"/>
        <v/>
      </c>
    </row>
    <row r="409" spans="7:23" x14ac:dyDescent="0.25">
      <c r="G409" s="12" t="str">
        <f t="shared" si="104"/>
        <v/>
      </c>
      <c r="H409" s="12" t="str">
        <f t="shared" si="94"/>
        <v/>
      </c>
      <c r="I409" s="12" t="str">
        <f t="shared" si="95"/>
        <v/>
      </c>
      <c r="J409" s="12" t="str">
        <f t="shared" si="96"/>
        <v/>
      </c>
      <c r="K409" s="12" t="str">
        <f t="shared" si="97"/>
        <v/>
      </c>
      <c r="L409" s="12" t="str">
        <f t="shared" si="98"/>
        <v/>
      </c>
      <c r="M409" s="12" t="str">
        <f t="shared" si="99"/>
        <v/>
      </c>
      <c r="N409" s="12" t="str">
        <f t="shared" si="100"/>
        <v/>
      </c>
      <c r="O409" s="12" t="str">
        <f t="shared" si="101"/>
        <v/>
      </c>
      <c r="P409" s="12" t="str">
        <f t="shared" si="102"/>
        <v/>
      </c>
      <c r="Q409" s="12" t="e">
        <f t="shared" si="90"/>
        <v>#VALUE!</v>
      </c>
      <c r="R409" s="39" t="str">
        <f t="shared" si="105"/>
        <v/>
      </c>
      <c r="V409" s="12" t="str">
        <f t="shared" si="93"/>
        <v/>
      </c>
      <c r="W409" s="22" t="str">
        <f t="shared" si="92"/>
        <v/>
      </c>
    </row>
    <row r="410" spans="7:23" x14ac:dyDescent="0.25">
      <c r="G410" s="12" t="str">
        <f t="shared" si="104"/>
        <v/>
      </c>
      <c r="H410" s="12" t="str">
        <f t="shared" si="94"/>
        <v/>
      </c>
      <c r="I410" s="12" t="str">
        <f t="shared" si="95"/>
        <v/>
      </c>
      <c r="J410" s="12" t="str">
        <f t="shared" si="96"/>
        <v/>
      </c>
      <c r="K410" s="12" t="str">
        <f t="shared" si="97"/>
        <v/>
      </c>
      <c r="L410" s="12" t="str">
        <f t="shared" si="98"/>
        <v/>
      </c>
      <c r="M410" s="12" t="str">
        <f t="shared" si="99"/>
        <v/>
      </c>
      <c r="N410" s="12" t="str">
        <f t="shared" si="100"/>
        <v/>
      </c>
      <c r="O410" s="12" t="str">
        <f t="shared" si="101"/>
        <v/>
      </c>
      <c r="P410" s="12" t="str">
        <f t="shared" si="102"/>
        <v/>
      </c>
      <c r="Q410" s="12" t="e">
        <f t="shared" si="90"/>
        <v>#VALUE!</v>
      </c>
      <c r="R410" s="39" t="str">
        <f t="shared" si="105"/>
        <v/>
      </c>
      <c r="V410" s="12" t="str">
        <f t="shared" si="93"/>
        <v/>
      </c>
      <c r="W410" s="22" t="str">
        <f t="shared" si="92"/>
        <v/>
      </c>
    </row>
    <row r="411" spans="7:23" x14ac:dyDescent="0.25">
      <c r="G411" s="12" t="str">
        <f t="shared" si="104"/>
        <v/>
      </c>
      <c r="H411" s="12" t="str">
        <f t="shared" si="94"/>
        <v/>
      </c>
      <c r="I411" s="12" t="str">
        <f t="shared" si="95"/>
        <v/>
      </c>
      <c r="J411" s="12" t="str">
        <f t="shared" si="96"/>
        <v/>
      </c>
      <c r="K411" s="12" t="str">
        <f t="shared" si="97"/>
        <v/>
      </c>
      <c r="L411" s="12" t="str">
        <f t="shared" si="98"/>
        <v/>
      </c>
      <c r="M411" s="12" t="str">
        <f t="shared" si="99"/>
        <v/>
      </c>
      <c r="N411" s="12" t="str">
        <f t="shared" si="100"/>
        <v/>
      </c>
      <c r="O411" s="12" t="str">
        <f t="shared" si="101"/>
        <v/>
      </c>
      <c r="P411" s="12" t="str">
        <f t="shared" si="102"/>
        <v/>
      </c>
      <c r="Q411" s="12" t="e">
        <f t="shared" si="90"/>
        <v>#VALUE!</v>
      </c>
      <c r="R411" s="39" t="str">
        <f t="shared" si="105"/>
        <v/>
      </c>
      <c r="V411" s="12" t="str">
        <f t="shared" si="93"/>
        <v/>
      </c>
      <c r="W411" s="22" t="str">
        <f t="shared" si="92"/>
        <v/>
      </c>
    </row>
    <row r="412" spans="7:23" x14ac:dyDescent="0.25">
      <c r="G412" s="12" t="str">
        <f t="shared" si="104"/>
        <v/>
      </c>
      <c r="H412" s="12" t="str">
        <f t="shared" si="94"/>
        <v/>
      </c>
      <c r="I412" s="12" t="str">
        <f t="shared" si="95"/>
        <v/>
      </c>
      <c r="J412" s="12" t="str">
        <f t="shared" si="96"/>
        <v/>
      </c>
      <c r="K412" s="12" t="str">
        <f t="shared" si="97"/>
        <v/>
      </c>
      <c r="L412" s="12" t="str">
        <f t="shared" si="98"/>
        <v/>
      </c>
      <c r="M412" s="12" t="str">
        <f t="shared" si="99"/>
        <v/>
      </c>
      <c r="N412" s="12" t="str">
        <f t="shared" si="100"/>
        <v/>
      </c>
      <c r="O412" s="12" t="str">
        <f t="shared" si="101"/>
        <v/>
      </c>
      <c r="P412" s="12" t="str">
        <f t="shared" si="102"/>
        <v/>
      </c>
      <c r="Q412" s="12" t="e">
        <f t="shared" si="90"/>
        <v>#VALUE!</v>
      </c>
      <c r="R412" s="39" t="str">
        <f t="shared" si="105"/>
        <v/>
      </c>
      <c r="V412" s="12" t="str">
        <f t="shared" si="93"/>
        <v/>
      </c>
      <c r="W412" s="22" t="str">
        <f t="shared" si="92"/>
        <v/>
      </c>
    </row>
    <row r="413" spans="7:23" x14ac:dyDescent="0.25">
      <c r="G413" s="12" t="str">
        <f t="shared" si="104"/>
        <v/>
      </c>
      <c r="H413" s="12" t="str">
        <f t="shared" si="94"/>
        <v/>
      </c>
      <c r="I413" s="12" t="str">
        <f t="shared" si="95"/>
        <v/>
      </c>
      <c r="J413" s="12" t="str">
        <f t="shared" si="96"/>
        <v/>
      </c>
      <c r="K413" s="12" t="str">
        <f t="shared" si="97"/>
        <v/>
      </c>
      <c r="L413" s="12" t="str">
        <f t="shared" si="98"/>
        <v/>
      </c>
      <c r="M413" s="12" t="str">
        <f t="shared" si="99"/>
        <v/>
      </c>
      <c r="N413" s="12" t="str">
        <f t="shared" si="100"/>
        <v/>
      </c>
      <c r="O413" s="12" t="str">
        <f t="shared" si="101"/>
        <v/>
      </c>
      <c r="P413" s="12" t="str">
        <f t="shared" si="102"/>
        <v/>
      </c>
      <c r="Q413" s="12" t="e">
        <f t="shared" si="90"/>
        <v>#VALUE!</v>
      </c>
      <c r="R413" s="39" t="str">
        <f t="shared" si="105"/>
        <v/>
      </c>
      <c r="V413" s="12" t="str">
        <f t="shared" si="93"/>
        <v/>
      </c>
      <c r="W413" s="22" t="str">
        <f t="shared" si="92"/>
        <v/>
      </c>
    </row>
    <row r="414" spans="7:23" x14ac:dyDescent="0.25">
      <c r="G414" s="12" t="str">
        <f t="shared" si="104"/>
        <v/>
      </c>
      <c r="H414" s="12" t="str">
        <f t="shared" si="94"/>
        <v/>
      </c>
      <c r="I414" s="12" t="str">
        <f t="shared" si="95"/>
        <v/>
      </c>
      <c r="J414" s="12" t="str">
        <f t="shared" si="96"/>
        <v/>
      </c>
      <c r="K414" s="12" t="str">
        <f t="shared" si="97"/>
        <v/>
      </c>
      <c r="L414" s="12" t="str">
        <f t="shared" si="98"/>
        <v/>
      </c>
      <c r="M414" s="12" t="str">
        <f t="shared" si="99"/>
        <v/>
      </c>
      <c r="N414" s="12" t="str">
        <f t="shared" si="100"/>
        <v/>
      </c>
      <c r="O414" s="12" t="str">
        <f t="shared" si="101"/>
        <v/>
      </c>
      <c r="P414" s="12" t="str">
        <f t="shared" si="102"/>
        <v/>
      </c>
      <c r="Q414" s="12" t="e">
        <f t="shared" si="90"/>
        <v>#VALUE!</v>
      </c>
      <c r="R414" s="39" t="str">
        <f t="shared" si="105"/>
        <v/>
      </c>
      <c r="V414" s="12" t="str">
        <f t="shared" si="93"/>
        <v/>
      </c>
      <c r="W414" s="22" t="str">
        <f t="shared" si="92"/>
        <v/>
      </c>
    </row>
    <row r="415" spans="7:23" x14ac:dyDescent="0.25">
      <c r="G415" s="12" t="str">
        <f t="shared" si="104"/>
        <v/>
      </c>
      <c r="H415" s="12" t="str">
        <f t="shared" si="94"/>
        <v/>
      </c>
      <c r="I415" s="12" t="str">
        <f t="shared" si="95"/>
        <v/>
      </c>
      <c r="J415" s="12" t="str">
        <f t="shared" si="96"/>
        <v/>
      </c>
      <c r="K415" s="12" t="str">
        <f t="shared" si="97"/>
        <v/>
      </c>
      <c r="L415" s="12" t="str">
        <f t="shared" si="98"/>
        <v/>
      </c>
      <c r="M415" s="12" t="str">
        <f t="shared" si="99"/>
        <v/>
      </c>
      <c r="N415" s="12" t="str">
        <f t="shared" si="100"/>
        <v/>
      </c>
      <c r="O415" s="12" t="str">
        <f t="shared" si="101"/>
        <v/>
      </c>
      <c r="P415" s="12" t="str">
        <f t="shared" si="102"/>
        <v/>
      </c>
      <c r="Q415" s="12" t="e">
        <f t="shared" si="90"/>
        <v>#VALUE!</v>
      </c>
      <c r="R415" s="39" t="str">
        <f t="shared" si="105"/>
        <v/>
      </c>
      <c r="V415" s="12" t="str">
        <f t="shared" si="93"/>
        <v/>
      </c>
      <c r="W415" s="22" t="str">
        <f t="shared" si="92"/>
        <v/>
      </c>
    </row>
    <row r="416" spans="7:23" x14ac:dyDescent="0.25">
      <c r="G416" s="12" t="str">
        <f t="shared" si="104"/>
        <v/>
      </c>
      <c r="H416" s="12" t="str">
        <f t="shared" si="94"/>
        <v/>
      </c>
      <c r="I416" s="12" t="str">
        <f t="shared" si="95"/>
        <v/>
      </c>
      <c r="J416" s="12" t="str">
        <f t="shared" si="96"/>
        <v/>
      </c>
      <c r="K416" s="12" t="str">
        <f t="shared" si="97"/>
        <v/>
      </c>
      <c r="L416" s="12" t="str">
        <f t="shared" si="98"/>
        <v/>
      </c>
      <c r="M416" s="12" t="str">
        <f t="shared" si="99"/>
        <v/>
      </c>
      <c r="N416" s="12" t="str">
        <f t="shared" si="100"/>
        <v/>
      </c>
      <c r="O416" s="12" t="str">
        <f t="shared" si="101"/>
        <v/>
      </c>
      <c r="P416" s="12" t="str">
        <f t="shared" si="102"/>
        <v/>
      </c>
      <c r="Q416" s="12" t="e">
        <f t="shared" si="90"/>
        <v>#VALUE!</v>
      </c>
      <c r="R416" s="39" t="str">
        <f t="shared" si="105"/>
        <v/>
      </c>
      <c r="V416" s="12" t="str">
        <f t="shared" si="93"/>
        <v/>
      </c>
      <c r="W416" s="22" t="str">
        <f t="shared" si="92"/>
        <v/>
      </c>
    </row>
    <row r="417" spans="7:23" x14ac:dyDescent="0.25">
      <c r="G417" s="12" t="str">
        <f t="shared" si="104"/>
        <v/>
      </c>
      <c r="H417" s="12" t="str">
        <f t="shared" si="94"/>
        <v/>
      </c>
      <c r="I417" s="12" t="str">
        <f t="shared" si="95"/>
        <v/>
      </c>
      <c r="J417" s="12" t="str">
        <f t="shared" si="96"/>
        <v/>
      </c>
      <c r="K417" s="12" t="str">
        <f t="shared" si="97"/>
        <v/>
      </c>
      <c r="L417" s="12" t="str">
        <f t="shared" si="98"/>
        <v/>
      </c>
      <c r="M417" s="12" t="str">
        <f t="shared" si="99"/>
        <v/>
      </c>
      <c r="N417" s="12" t="str">
        <f t="shared" si="100"/>
        <v/>
      </c>
      <c r="O417" s="12" t="str">
        <f t="shared" si="101"/>
        <v/>
      </c>
      <c r="P417" s="12" t="str">
        <f t="shared" si="102"/>
        <v/>
      </c>
      <c r="Q417" s="12" t="e">
        <f t="shared" ref="Q417:Q480" si="106">G417-G416</f>
        <v>#VALUE!</v>
      </c>
      <c r="R417" s="39" t="str">
        <f t="shared" si="105"/>
        <v/>
      </c>
      <c r="V417" s="12" t="str">
        <f t="shared" si="93"/>
        <v/>
      </c>
      <c r="W417" s="22" t="str">
        <f t="shared" si="92"/>
        <v/>
      </c>
    </row>
    <row r="418" spans="7:23" x14ac:dyDescent="0.25">
      <c r="G418" s="12" t="str">
        <f t="shared" si="104"/>
        <v/>
      </c>
      <c r="H418" s="12" t="str">
        <f t="shared" si="94"/>
        <v/>
      </c>
      <c r="I418" s="12" t="str">
        <f t="shared" si="95"/>
        <v/>
      </c>
      <c r="J418" s="12" t="str">
        <f t="shared" si="96"/>
        <v/>
      </c>
      <c r="K418" s="12" t="str">
        <f t="shared" si="97"/>
        <v/>
      </c>
      <c r="L418" s="12" t="str">
        <f t="shared" si="98"/>
        <v/>
      </c>
      <c r="M418" s="12" t="str">
        <f t="shared" si="99"/>
        <v/>
      </c>
      <c r="N418" s="12" t="str">
        <f t="shared" si="100"/>
        <v/>
      </c>
      <c r="O418" s="12" t="str">
        <f t="shared" si="101"/>
        <v/>
      </c>
      <c r="P418" s="12" t="str">
        <f t="shared" si="102"/>
        <v/>
      </c>
      <c r="Q418" s="12" t="e">
        <f t="shared" si="106"/>
        <v>#VALUE!</v>
      </c>
      <c r="R418" s="39" t="str">
        <f t="shared" si="105"/>
        <v/>
      </c>
      <c r="V418" s="12" t="str">
        <f t="shared" si="93"/>
        <v/>
      </c>
      <c r="W418" s="22" t="str">
        <f t="shared" si="92"/>
        <v/>
      </c>
    </row>
    <row r="419" spans="7:23" x14ac:dyDescent="0.25">
      <c r="G419" s="12" t="str">
        <f t="shared" si="104"/>
        <v/>
      </c>
      <c r="H419" s="12" t="str">
        <f t="shared" si="94"/>
        <v/>
      </c>
      <c r="I419" s="12" t="str">
        <f t="shared" si="95"/>
        <v/>
      </c>
      <c r="J419" s="12" t="str">
        <f t="shared" si="96"/>
        <v/>
      </c>
      <c r="K419" s="12" t="str">
        <f t="shared" si="97"/>
        <v/>
      </c>
      <c r="L419" s="12" t="str">
        <f t="shared" si="98"/>
        <v/>
      </c>
      <c r="M419" s="12" t="str">
        <f t="shared" si="99"/>
        <v/>
      </c>
      <c r="N419" s="12" t="str">
        <f t="shared" si="100"/>
        <v/>
      </c>
      <c r="O419" s="12" t="str">
        <f t="shared" si="101"/>
        <v/>
      </c>
      <c r="P419" s="12" t="str">
        <f t="shared" si="102"/>
        <v/>
      </c>
      <c r="Q419" s="12" t="e">
        <f t="shared" si="106"/>
        <v>#VALUE!</v>
      </c>
      <c r="R419" s="39" t="str">
        <f t="shared" si="105"/>
        <v/>
      </c>
      <c r="V419" s="12" t="str">
        <f t="shared" si="93"/>
        <v/>
      </c>
      <c r="W419" s="22" t="str">
        <f t="shared" si="92"/>
        <v/>
      </c>
    </row>
    <row r="420" spans="7:23" x14ac:dyDescent="0.25">
      <c r="G420" s="12" t="str">
        <f t="shared" si="104"/>
        <v/>
      </c>
      <c r="H420" s="12" t="str">
        <f t="shared" si="94"/>
        <v/>
      </c>
      <c r="I420" s="12" t="str">
        <f t="shared" si="95"/>
        <v/>
      </c>
      <c r="J420" s="12" t="str">
        <f t="shared" si="96"/>
        <v/>
      </c>
      <c r="K420" s="12" t="str">
        <f t="shared" si="97"/>
        <v/>
      </c>
      <c r="L420" s="12" t="str">
        <f t="shared" si="98"/>
        <v/>
      </c>
      <c r="M420" s="12" t="str">
        <f t="shared" si="99"/>
        <v/>
      </c>
      <c r="N420" s="12" t="str">
        <f t="shared" si="100"/>
        <v/>
      </c>
      <c r="O420" s="12" t="str">
        <f t="shared" si="101"/>
        <v/>
      </c>
      <c r="P420" s="12" t="str">
        <f t="shared" si="102"/>
        <v/>
      </c>
      <c r="Q420" s="12" t="e">
        <f t="shared" si="106"/>
        <v>#VALUE!</v>
      </c>
      <c r="R420" s="39" t="str">
        <f t="shared" si="105"/>
        <v/>
      </c>
      <c r="V420" s="12" t="str">
        <f t="shared" si="93"/>
        <v/>
      </c>
      <c r="W420" s="22" t="str">
        <f t="shared" si="92"/>
        <v/>
      </c>
    </row>
    <row r="421" spans="7:23" x14ac:dyDescent="0.25">
      <c r="G421" s="12" t="str">
        <f t="shared" si="104"/>
        <v/>
      </c>
      <c r="H421" s="12" t="str">
        <f t="shared" si="94"/>
        <v/>
      </c>
      <c r="I421" s="12" t="str">
        <f t="shared" si="95"/>
        <v/>
      </c>
      <c r="J421" s="12" t="str">
        <f t="shared" si="96"/>
        <v/>
      </c>
      <c r="K421" s="12" t="str">
        <f t="shared" si="97"/>
        <v/>
      </c>
      <c r="L421" s="12" t="str">
        <f t="shared" si="98"/>
        <v/>
      </c>
      <c r="M421" s="12" t="str">
        <f t="shared" si="99"/>
        <v/>
      </c>
      <c r="N421" s="12" t="str">
        <f t="shared" si="100"/>
        <v/>
      </c>
      <c r="O421" s="12" t="str">
        <f t="shared" si="101"/>
        <v/>
      </c>
      <c r="P421" s="12" t="str">
        <f t="shared" si="102"/>
        <v/>
      </c>
      <c r="Q421" s="12" t="e">
        <f t="shared" si="106"/>
        <v>#VALUE!</v>
      </c>
      <c r="R421" s="39" t="str">
        <f t="shared" si="105"/>
        <v/>
      </c>
      <c r="V421" s="12" t="str">
        <f t="shared" si="93"/>
        <v/>
      </c>
      <c r="W421" s="22" t="str">
        <f t="shared" si="92"/>
        <v/>
      </c>
    </row>
    <row r="422" spans="7:23" x14ac:dyDescent="0.25">
      <c r="G422" s="12" t="str">
        <f t="shared" si="104"/>
        <v/>
      </c>
      <c r="H422" s="12" t="str">
        <f t="shared" si="94"/>
        <v/>
      </c>
      <c r="I422" s="12" t="str">
        <f t="shared" si="95"/>
        <v/>
      </c>
      <c r="J422" s="12" t="str">
        <f t="shared" si="96"/>
        <v/>
      </c>
      <c r="K422" s="12" t="str">
        <f t="shared" si="97"/>
        <v/>
      </c>
      <c r="L422" s="12" t="str">
        <f t="shared" si="98"/>
        <v/>
      </c>
      <c r="M422" s="12" t="str">
        <f t="shared" si="99"/>
        <v/>
      </c>
      <c r="N422" s="12" t="str">
        <f t="shared" si="100"/>
        <v/>
      </c>
      <c r="O422" s="12" t="str">
        <f t="shared" si="101"/>
        <v/>
      </c>
      <c r="P422" s="12" t="str">
        <f t="shared" si="102"/>
        <v/>
      </c>
      <c r="Q422" s="12" t="e">
        <f t="shared" si="106"/>
        <v>#VALUE!</v>
      </c>
      <c r="R422" s="39" t="str">
        <f t="shared" si="105"/>
        <v/>
      </c>
      <c r="V422" s="12" t="str">
        <f t="shared" si="93"/>
        <v/>
      </c>
      <c r="W422" s="22" t="str">
        <f t="shared" si="92"/>
        <v/>
      </c>
    </row>
    <row r="423" spans="7:23" x14ac:dyDescent="0.25">
      <c r="G423" s="12" t="str">
        <f t="shared" si="104"/>
        <v/>
      </c>
      <c r="H423" s="12" t="str">
        <f t="shared" si="94"/>
        <v/>
      </c>
      <c r="I423" s="12" t="str">
        <f t="shared" si="95"/>
        <v/>
      </c>
      <c r="J423" s="12" t="str">
        <f t="shared" si="96"/>
        <v/>
      </c>
      <c r="K423" s="12" t="str">
        <f t="shared" si="97"/>
        <v/>
      </c>
      <c r="L423" s="12" t="str">
        <f t="shared" si="98"/>
        <v/>
      </c>
      <c r="M423" s="12" t="str">
        <f t="shared" si="99"/>
        <v/>
      </c>
      <c r="N423" s="12" t="str">
        <f t="shared" si="100"/>
        <v/>
      </c>
      <c r="O423" s="12" t="str">
        <f t="shared" si="101"/>
        <v/>
      </c>
      <c r="P423" s="12" t="str">
        <f t="shared" si="102"/>
        <v/>
      </c>
      <c r="Q423" s="12" t="e">
        <f t="shared" si="106"/>
        <v>#VALUE!</v>
      </c>
      <c r="R423" s="39" t="str">
        <f t="shared" si="105"/>
        <v/>
      </c>
      <c r="V423" s="12" t="str">
        <f t="shared" si="93"/>
        <v/>
      </c>
      <c r="W423" s="22" t="str">
        <f t="shared" si="92"/>
        <v/>
      </c>
    </row>
    <row r="424" spans="7:23" x14ac:dyDescent="0.25">
      <c r="G424" s="12" t="str">
        <f t="shared" si="104"/>
        <v/>
      </c>
      <c r="H424" s="12" t="str">
        <f t="shared" si="94"/>
        <v/>
      </c>
      <c r="I424" s="12" t="str">
        <f t="shared" si="95"/>
        <v/>
      </c>
      <c r="J424" s="12" t="str">
        <f t="shared" si="96"/>
        <v/>
      </c>
      <c r="K424" s="12" t="str">
        <f t="shared" si="97"/>
        <v/>
      </c>
      <c r="L424" s="12" t="str">
        <f t="shared" si="98"/>
        <v/>
      </c>
      <c r="M424" s="12" t="str">
        <f t="shared" si="99"/>
        <v/>
      </c>
      <c r="N424" s="12" t="str">
        <f t="shared" si="100"/>
        <v/>
      </c>
      <c r="O424" s="12" t="str">
        <f t="shared" si="101"/>
        <v/>
      </c>
      <c r="P424" s="12" t="str">
        <f t="shared" si="102"/>
        <v/>
      </c>
      <c r="Q424" s="12" t="e">
        <f t="shared" si="106"/>
        <v>#VALUE!</v>
      </c>
      <c r="R424" s="39" t="str">
        <f t="shared" si="105"/>
        <v/>
      </c>
      <c r="V424" s="12" t="str">
        <f t="shared" si="93"/>
        <v/>
      </c>
      <c r="W424" s="22" t="str">
        <f t="shared" si="92"/>
        <v/>
      </c>
    </row>
    <row r="425" spans="7:23" x14ac:dyDescent="0.25">
      <c r="G425" s="12" t="str">
        <f t="shared" si="104"/>
        <v/>
      </c>
      <c r="H425" s="12" t="str">
        <f t="shared" si="94"/>
        <v/>
      </c>
      <c r="I425" s="12" t="str">
        <f t="shared" si="95"/>
        <v/>
      </c>
      <c r="J425" s="12" t="str">
        <f t="shared" si="96"/>
        <v/>
      </c>
      <c r="K425" s="12" t="str">
        <f t="shared" si="97"/>
        <v/>
      </c>
      <c r="L425" s="12" t="str">
        <f t="shared" si="98"/>
        <v/>
      </c>
      <c r="M425" s="12" t="str">
        <f t="shared" si="99"/>
        <v/>
      </c>
      <c r="N425" s="12" t="str">
        <f t="shared" si="100"/>
        <v/>
      </c>
      <c r="O425" s="12" t="str">
        <f t="shared" si="101"/>
        <v/>
      </c>
      <c r="P425" s="12" t="str">
        <f t="shared" si="102"/>
        <v/>
      </c>
      <c r="Q425" s="12" t="e">
        <f t="shared" si="106"/>
        <v>#VALUE!</v>
      </c>
      <c r="R425" s="39" t="str">
        <f t="shared" si="105"/>
        <v/>
      </c>
      <c r="V425" s="12" t="str">
        <f t="shared" si="93"/>
        <v/>
      </c>
      <c r="W425" s="22" t="str">
        <f t="shared" si="92"/>
        <v/>
      </c>
    </row>
    <row r="426" spans="7:23" x14ac:dyDescent="0.25">
      <c r="G426" s="12" t="str">
        <f t="shared" si="104"/>
        <v/>
      </c>
      <c r="H426" s="12" t="str">
        <f t="shared" si="94"/>
        <v/>
      </c>
      <c r="I426" s="12" t="str">
        <f t="shared" si="95"/>
        <v/>
      </c>
      <c r="J426" s="12" t="str">
        <f t="shared" si="96"/>
        <v/>
      </c>
      <c r="K426" s="12" t="str">
        <f t="shared" si="97"/>
        <v/>
      </c>
      <c r="L426" s="12" t="str">
        <f t="shared" si="98"/>
        <v/>
      </c>
      <c r="M426" s="12" t="str">
        <f t="shared" si="99"/>
        <v/>
      </c>
      <c r="N426" s="12" t="str">
        <f t="shared" si="100"/>
        <v/>
      </c>
      <c r="O426" s="12" t="str">
        <f t="shared" si="101"/>
        <v/>
      </c>
      <c r="P426" s="12" t="str">
        <f t="shared" si="102"/>
        <v/>
      </c>
      <c r="Q426" s="12" t="e">
        <f t="shared" si="106"/>
        <v>#VALUE!</v>
      </c>
      <c r="R426" s="39" t="str">
        <f t="shared" si="105"/>
        <v/>
      </c>
      <c r="V426" s="12" t="str">
        <f t="shared" si="93"/>
        <v/>
      </c>
      <c r="W426" s="22" t="str">
        <f t="shared" si="92"/>
        <v/>
      </c>
    </row>
    <row r="427" spans="7:23" x14ac:dyDescent="0.25">
      <c r="G427" s="12" t="str">
        <f t="shared" si="104"/>
        <v/>
      </c>
      <c r="H427" s="12" t="str">
        <f t="shared" si="94"/>
        <v/>
      </c>
      <c r="I427" s="12" t="str">
        <f t="shared" si="95"/>
        <v/>
      </c>
      <c r="J427" s="12" t="str">
        <f t="shared" si="96"/>
        <v/>
      </c>
      <c r="K427" s="12" t="str">
        <f t="shared" si="97"/>
        <v/>
      </c>
      <c r="L427" s="12" t="str">
        <f t="shared" si="98"/>
        <v/>
      </c>
      <c r="M427" s="12" t="str">
        <f t="shared" si="99"/>
        <v/>
      </c>
      <c r="N427" s="12" t="str">
        <f t="shared" si="100"/>
        <v/>
      </c>
      <c r="O427" s="12" t="str">
        <f t="shared" si="101"/>
        <v/>
      </c>
      <c r="P427" s="12" t="str">
        <f t="shared" si="102"/>
        <v/>
      </c>
      <c r="Q427" s="12" t="e">
        <f t="shared" si="106"/>
        <v>#VALUE!</v>
      </c>
      <c r="R427" s="39" t="str">
        <f t="shared" si="105"/>
        <v/>
      </c>
      <c r="V427" s="12" t="str">
        <f t="shared" si="93"/>
        <v/>
      </c>
      <c r="W427" s="22" t="str">
        <f t="shared" si="92"/>
        <v/>
      </c>
    </row>
    <row r="428" spans="7:23" x14ac:dyDescent="0.25">
      <c r="G428" s="12" t="str">
        <f t="shared" si="104"/>
        <v/>
      </c>
      <c r="H428" s="12" t="str">
        <f t="shared" si="94"/>
        <v/>
      </c>
      <c r="I428" s="12" t="str">
        <f t="shared" si="95"/>
        <v/>
      </c>
      <c r="J428" s="12" t="str">
        <f t="shared" si="96"/>
        <v/>
      </c>
      <c r="K428" s="12" t="str">
        <f t="shared" si="97"/>
        <v/>
      </c>
      <c r="L428" s="12" t="str">
        <f t="shared" si="98"/>
        <v/>
      </c>
      <c r="M428" s="12" t="str">
        <f t="shared" si="99"/>
        <v/>
      </c>
      <c r="N428" s="12" t="str">
        <f t="shared" si="100"/>
        <v/>
      </c>
      <c r="O428" s="12" t="str">
        <f t="shared" si="101"/>
        <v/>
      </c>
      <c r="P428" s="12" t="str">
        <f t="shared" si="102"/>
        <v/>
      </c>
      <c r="Q428" s="12" t="e">
        <f t="shared" si="106"/>
        <v>#VALUE!</v>
      </c>
      <c r="R428" s="39" t="str">
        <f t="shared" si="105"/>
        <v/>
      </c>
      <c r="V428" s="12" t="str">
        <f t="shared" si="93"/>
        <v/>
      </c>
      <c r="W428" s="22" t="str">
        <f t="shared" si="92"/>
        <v/>
      </c>
    </row>
    <row r="429" spans="7:23" x14ac:dyDescent="0.25">
      <c r="G429" s="12" t="str">
        <f t="shared" si="104"/>
        <v/>
      </c>
      <c r="H429" s="12" t="str">
        <f t="shared" si="94"/>
        <v/>
      </c>
      <c r="I429" s="12" t="str">
        <f t="shared" si="95"/>
        <v/>
      </c>
      <c r="J429" s="12" t="str">
        <f t="shared" si="96"/>
        <v/>
      </c>
      <c r="K429" s="12" t="str">
        <f t="shared" si="97"/>
        <v/>
      </c>
      <c r="L429" s="12" t="str">
        <f t="shared" si="98"/>
        <v/>
      </c>
      <c r="M429" s="12" t="str">
        <f t="shared" si="99"/>
        <v/>
      </c>
      <c r="N429" s="12" t="str">
        <f t="shared" si="100"/>
        <v/>
      </c>
      <c r="O429" s="12" t="str">
        <f t="shared" si="101"/>
        <v/>
      </c>
      <c r="P429" s="12" t="str">
        <f t="shared" si="102"/>
        <v/>
      </c>
      <c r="Q429" s="12" t="e">
        <f t="shared" si="106"/>
        <v>#VALUE!</v>
      </c>
      <c r="R429" s="39" t="str">
        <f t="shared" si="105"/>
        <v/>
      </c>
      <c r="V429" s="12" t="str">
        <f t="shared" si="93"/>
        <v/>
      </c>
      <c r="W429" s="22" t="str">
        <f t="shared" si="92"/>
        <v/>
      </c>
    </row>
    <row r="430" spans="7:23" x14ac:dyDescent="0.25">
      <c r="G430" s="12" t="str">
        <f t="shared" si="104"/>
        <v/>
      </c>
      <c r="H430" s="12" t="str">
        <f t="shared" si="94"/>
        <v/>
      </c>
      <c r="I430" s="12" t="str">
        <f t="shared" si="95"/>
        <v/>
      </c>
      <c r="J430" s="12" t="str">
        <f t="shared" si="96"/>
        <v/>
      </c>
      <c r="K430" s="12" t="str">
        <f t="shared" si="97"/>
        <v/>
      </c>
      <c r="L430" s="12" t="str">
        <f t="shared" si="98"/>
        <v/>
      </c>
      <c r="M430" s="12" t="str">
        <f t="shared" si="99"/>
        <v/>
      </c>
      <c r="N430" s="12" t="str">
        <f t="shared" si="100"/>
        <v/>
      </c>
      <c r="O430" s="12" t="str">
        <f t="shared" si="101"/>
        <v/>
      </c>
      <c r="P430" s="12" t="str">
        <f t="shared" si="102"/>
        <v/>
      </c>
      <c r="Q430" s="12" t="e">
        <f t="shared" si="106"/>
        <v>#VALUE!</v>
      </c>
      <c r="R430" s="39" t="str">
        <f t="shared" si="105"/>
        <v/>
      </c>
      <c r="V430" s="12" t="str">
        <f t="shared" si="93"/>
        <v/>
      </c>
      <c r="W430" s="22" t="str">
        <f t="shared" si="92"/>
        <v/>
      </c>
    </row>
    <row r="431" spans="7:23" x14ac:dyDescent="0.25">
      <c r="G431" s="12" t="str">
        <f t="shared" si="104"/>
        <v/>
      </c>
      <c r="H431" s="12" t="str">
        <f t="shared" si="94"/>
        <v/>
      </c>
      <c r="I431" s="12" t="str">
        <f t="shared" si="95"/>
        <v/>
      </c>
      <c r="J431" s="12" t="str">
        <f t="shared" si="96"/>
        <v/>
      </c>
      <c r="K431" s="12" t="str">
        <f t="shared" si="97"/>
        <v/>
      </c>
      <c r="L431" s="12" t="str">
        <f t="shared" si="98"/>
        <v/>
      </c>
      <c r="M431" s="12" t="str">
        <f t="shared" si="99"/>
        <v/>
      </c>
      <c r="N431" s="12" t="str">
        <f t="shared" si="100"/>
        <v/>
      </c>
      <c r="O431" s="12" t="str">
        <f t="shared" si="101"/>
        <v/>
      </c>
      <c r="P431" s="12" t="str">
        <f t="shared" si="102"/>
        <v/>
      </c>
      <c r="Q431" s="12" t="e">
        <f t="shared" si="106"/>
        <v>#VALUE!</v>
      </c>
      <c r="R431" s="39" t="str">
        <f t="shared" si="105"/>
        <v/>
      </c>
      <c r="V431" s="12" t="str">
        <f t="shared" si="93"/>
        <v/>
      </c>
      <c r="W431" s="22" t="str">
        <f t="shared" si="92"/>
        <v/>
      </c>
    </row>
    <row r="432" spans="7:23" x14ac:dyDescent="0.25">
      <c r="G432" s="12" t="str">
        <f t="shared" si="104"/>
        <v/>
      </c>
      <c r="H432" s="12" t="str">
        <f t="shared" si="94"/>
        <v/>
      </c>
      <c r="I432" s="12" t="str">
        <f t="shared" si="95"/>
        <v/>
      </c>
      <c r="J432" s="12" t="str">
        <f t="shared" si="96"/>
        <v/>
      </c>
      <c r="K432" s="12" t="str">
        <f t="shared" si="97"/>
        <v/>
      </c>
      <c r="L432" s="12" t="str">
        <f t="shared" si="98"/>
        <v/>
      </c>
      <c r="M432" s="12" t="str">
        <f t="shared" si="99"/>
        <v/>
      </c>
      <c r="N432" s="12" t="str">
        <f t="shared" si="100"/>
        <v/>
      </c>
      <c r="O432" s="12" t="str">
        <f t="shared" si="101"/>
        <v/>
      </c>
      <c r="P432" s="12" t="str">
        <f t="shared" si="102"/>
        <v/>
      </c>
      <c r="Q432" s="12" t="e">
        <f t="shared" si="106"/>
        <v>#VALUE!</v>
      </c>
      <c r="R432" s="39" t="str">
        <f t="shared" si="105"/>
        <v/>
      </c>
      <c r="V432" s="12" t="str">
        <f t="shared" si="93"/>
        <v/>
      </c>
      <c r="W432" s="22" t="str">
        <f t="shared" si="92"/>
        <v/>
      </c>
    </row>
    <row r="433" spans="7:23" x14ac:dyDescent="0.25">
      <c r="G433" s="12" t="str">
        <f t="shared" si="104"/>
        <v/>
      </c>
      <c r="H433" s="12" t="str">
        <f t="shared" si="94"/>
        <v/>
      </c>
      <c r="I433" s="12" t="str">
        <f t="shared" si="95"/>
        <v/>
      </c>
      <c r="J433" s="12" t="str">
        <f t="shared" si="96"/>
        <v/>
      </c>
      <c r="K433" s="12" t="str">
        <f t="shared" si="97"/>
        <v/>
      </c>
      <c r="L433" s="12" t="str">
        <f t="shared" si="98"/>
        <v/>
      </c>
      <c r="M433" s="12" t="str">
        <f t="shared" si="99"/>
        <v/>
      </c>
      <c r="N433" s="12" t="str">
        <f t="shared" si="100"/>
        <v/>
      </c>
      <c r="O433" s="12" t="str">
        <f t="shared" si="101"/>
        <v/>
      </c>
      <c r="P433" s="12" t="str">
        <f t="shared" si="102"/>
        <v/>
      </c>
      <c r="Q433" s="12" t="e">
        <f t="shared" si="106"/>
        <v>#VALUE!</v>
      </c>
      <c r="R433" s="39" t="str">
        <f t="shared" si="105"/>
        <v/>
      </c>
      <c r="V433" s="12" t="str">
        <f t="shared" si="93"/>
        <v/>
      </c>
      <c r="W433" s="22" t="str">
        <f t="shared" si="92"/>
        <v/>
      </c>
    </row>
    <row r="434" spans="7:23" x14ac:dyDescent="0.25">
      <c r="G434" s="12" t="str">
        <f t="shared" si="104"/>
        <v/>
      </c>
      <c r="H434" s="12" t="str">
        <f t="shared" si="94"/>
        <v/>
      </c>
      <c r="I434" s="12" t="str">
        <f t="shared" si="95"/>
        <v/>
      </c>
      <c r="J434" s="12" t="str">
        <f t="shared" si="96"/>
        <v/>
      </c>
      <c r="K434" s="12" t="str">
        <f t="shared" si="97"/>
        <v/>
      </c>
      <c r="L434" s="12" t="str">
        <f t="shared" si="98"/>
        <v/>
      </c>
      <c r="M434" s="12" t="str">
        <f t="shared" si="99"/>
        <v/>
      </c>
      <c r="N434" s="12" t="str">
        <f t="shared" si="100"/>
        <v/>
      </c>
      <c r="O434" s="12" t="str">
        <f t="shared" si="101"/>
        <v/>
      </c>
      <c r="P434" s="12" t="str">
        <f t="shared" si="102"/>
        <v/>
      </c>
      <c r="Q434" s="12" t="e">
        <f t="shared" si="106"/>
        <v>#VALUE!</v>
      </c>
      <c r="R434" s="39" t="str">
        <f t="shared" si="105"/>
        <v/>
      </c>
      <c r="V434" s="12" t="str">
        <f t="shared" si="93"/>
        <v/>
      </c>
      <c r="W434" s="22" t="str">
        <f t="shared" si="92"/>
        <v/>
      </c>
    </row>
    <row r="435" spans="7:23" x14ac:dyDescent="0.25">
      <c r="G435" s="12" t="str">
        <f t="shared" si="104"/>
        <v/>
      </c>
      <c r="H435" s="12" t="str">
        <f t="shared" si="94"/>
        <v/>
      </c>
      <c r="I435" s="12" t="str">
        <f t="shared" si="95"/>
        <v/>
      </c>
      <c r="J435" s="12" t="str">
        <f t="shared" si="96"/>
        <v/>
      </c>
      <c r="K435" s="12" t="str">
        <f t="shared" si="97"/>
        <v/>
      </c>
      <c r="L435" s="12" t="str">
        <f t="shared" si="98"/>
        <v/>
      </c>
      <c r="M435" s="12" t="str">
        <f t="shared" si="99"/>
        <v/>
      </c>
      <c r="N435" s="12" t="str">
        <f t="shared" si="100"/>
        <v/>
      </c>
      <c r="O435" s="12" t="str">
        <f t="shared" si="101"/>
        <v/>
      </c>
      <c r="P435" s="12" t="str">
        <f t="shared" si="102"/>
        <v/>
      </c>
      <c r="Q435" s="12" t="e">
        <f t="shared" si="106"/>
        <v>#VALUE!</v>
      </c>
      <c r="R435" s="39" t="str">
        <f t="shared" si="105"/>
        <v/>
      </c>
      <c r="V435" s="12" t="str">
        <f t="shared" si="93"/>
        <v/>
      </c>
      <c r="W435" s="22" t="str">
        <f t="shared" si="92"/>
        <v/>
      </c>
    </row>
    <row r="436" spans="7:23" x14ac:dyDescent="0.25">
      <c r="G436" s="12" t="str">
        <f t="shared" si="104"/>
        <v/>
      </c>
      <c r="H436" s="12" t="str">
        <f t="shared" si="94"/>
        <v/>
      </c>
      <c r="I436" s="12" t="str">
        <f t="shared" si="95"/>
        <v/>
      </c>
      <c r="J436" s="12" t="str">
        <f t="shared" si="96"/>
        <v/>
      </c>
      <c r="K436" s="12" t="str">
        <f t="shared" si="97"/>
        <v/>
      </c>
      <c r="L436" s="12" t="str">
        <f t="shared" si="98"/>
        <v/>
      </c>
      <c r="M436" s="12" t="str">
        <f t="shared" si="99"/>
        <v/>
      </c>
      <c r="N436" s="12" t="str">
        <f t="shared" si="100"/>
        <v/>
      </c>
      <c r="O436" s="12" t="str">
        <f t="shared" si="101"/>
        <v/>
      </c>
      <c r="P436" s="12" t="str">
        <f t="shared" si="102"/>
        <v/>
      </c>
      <c r="Q436" s="12" t="e">
        <f t="shared" si="106"/>
        <v>#VALUE!</v>
      </c>
      <c r="R436" s="39" t="str">
        <f t="shared" si="105"/>
        <v/>
      </c>
      <c r="V436" s="12" t="str">
        <f t="shared" si="93"/>
        <v/>
      </c>
      <c r="W436" s="22" t="str">
        <f t="shared" si="92"/>
        <v/>
      </c>
    </row>
    <row r="437" spans="7:23" x14ac:dyDescent="0.25">
      <c r="G437" s="12" t="str">
        <f t="shared" si="104"/>
        <v/>
      </c>
      <c r="H437" s="12" t="str">
        <f t="shared" si="94"/>
        <v/>
      </c>
      <c r="I437" s="12" t="str">
        <f t="shared" si="95"/>
        <v/>
      </c>
      <c r="J437" s="12" t="str">
        <f t="shared" si="96"/>
        <v/>
      </c>
      <c r="K437" s="12" t="str">
        <f t="shared" si="97"/>
        <v/>
      </c>
      <c r="L437" s="12" t="str">
        <f t="shared" si="98"/>
        <v/>
      </c>
      <c r="M437" s="12" t="str">
        <f t="shared" si="99"/>
        <v/>
      </c>
      <c r="N437" s="12" t="str">
        <f t="shared" si="100"/>
        <v/>
      </c>
      <c r="O437" s="12" t="str">
        <f t="shared" si="101"/>
        <v/>
      </c>
      <c r="P437" s="12" t="str">
        <f t="shared" si="102"/>
        <v/>
      </c>
      <c r="Q437" s="12" t="e">
        <f t="shared" si="106"/>
        <v>#VALUE!</v>
      </c>
      <c r="R437" s="39" t="str">
        <f t="shared" si="105"/>
        <v/>
      </c>
      <c r="V437" s="12" t="str">
        <f t="shared" si="93"/>
        <v/>
      </c>
      <c r="W437" s="22" t="str">
        <f t="shared" si="92"/>
        <v/>
      </c>
    </row>
    <row r="438" spans="7:23" x14ac:dyDescent="0.25">
      <c r="G438" s="12" t="str">
        <f t="shared" si="104"/>
        <v/>
      </c>
      <c r="H438" s="12" t="str">
        <f t="shared" si="94"/>
        <v/>
      </c>
      <c r="I438" s="12" t="str">
        <f t="shared" si="95"/>
        <v/>
      </c>
      <c r="J438" s="12" t="str">
        <f t="shared" si="96"/>
        <v/>
      </c>
      <c r="K438" s="12" t="str">
        <f t="shared" si="97"/>
        <v/>
      </c>
      <c r="L438" s="12" t="str">
        <f t="shared" si="98"/>
        <v/>
      </c>
      <c r="M438" s="12" t="str">
        <f t="shared" si="99"/>
        <v/>
      </c>
      <c r="N438" s="12" t="str">
        <f t="shared" si="100"/>
        <v/>
      </c>
      <c r="O438" s="12" t="str">
        <f t="shared" si="101"/>
        <v/>
      </c>
      <c r="P438" s="12" t="str">
        <f t="shared" si="102"/>
        <v/>
      </c>
      <c r="Q438" s="12" t="e">
        <f t="shared" si="106"/>
        <v>#VALUE!</v>
      </c>
      <c r="R438" s="39" t="str">
        <f t="shared" si="105"/>
        <v/>
      </c>
      <c r="V438" s="12" t="str">
        <f t="shared" si="93"/>
        <v/>
      </c>
      <c r="W438" s="22" t="str">
        <f t="shared" ref="W438:W501" si="107">_xlfn.IFS(V438="","",SECOND(V438)&lt;10,"",  (HOUR(V438)*3600+MINUTE(V438)*60+SECOND(V438))&gt;60,"", (HOUR(V438)*3600+MINUTE(V438)*60+SECOND(V438))&lt;60, HOUR(V438)*3600+MINUTE(V438)*60+SECOND(V438))</f>
        <v/>
      </c>
    </row>
    <row r="439" spans="7:23" x14ac:dyDescent="0.25">
      <c r="G439" s="12" t="str">
        <f t="shared" si="104"/>
        <v/>
      </c>
      <c r="H439" s="12" t="str">
        <f t="shared" si="94"/>
        <v/>
      </c>
      <c r="I439" s="12" t="str">
        <f t="shared" si="95"/>
        <v/>
      </c>
      <c r="J439" s="12" t="str">
        <f t="shared" si="96"/>
        <v/>
      </c>
      <c r="K439" s="12" t="str">
        <f t="shared" si="97"/>
        <v/>
      </c>
      <c r="L439" s="12" t="str">
        <f t="shared" si="98"/>
        <v/>
      </c>
      <c r="M439" s="12" t="str">
        <f t="shared" si="99"/>
        <v/>
      </c>
      <c r="N439" s="12" t="str">
        <f t="shared" si="100"/>
        <v/>
      </c>
      <c r="O439" s="12" t="str">
        <f t="shared" si="101"/>
        <v/>
      </c>
      <c r="P439" s="12" t="str">
        <f t="shared" si="102"/>
        <v/>
      </c>
      <c r="Q439" s="12" t="e">
        <f t="shared" si="106"/>
        <v>#VALUE!</v>
      </c>
      <c r="R439" s="39" t="str">
        <f t="shared" si="105"/>
        <v/>
      </c>
      <c r="V439" s="12" t="str">
        <f t="shared" si="93"/>
        <v/>
      </c>
      <c r="W439" s="22" t="str">
        <f t="shared" si="107"/>
        <v/>
      </c>
    </row>
    <row r="440" spans="7:23" x14ac:dyDescent="0.25">
      <c r="G440" s="12" t="str">
        <f t="shared" si="104"/>
        <v/>
      </c>
      <c r="H440" s="12" t="str">
        <f t="shared" si="94"/>
        <v/>
      </c>
      <c r="I440" s="12" t="str">
        <f t="shared" si="95"/>
        <v/>
      </c>
      <c r="J440" s="12" t="str">
        <f t="shared" si="96"/>
        <v/>
      </c>
      <c r="K440" s="12" t="str">
        <f t="shared" si="97"/>
        <v/>
      </c>
      <c r="L440" s="12" t="str">
        <f t="shared" si="98"/>
        <v/>
      </c>
      <c r="M440" s="12" t="str">
        <f t="shared" si="99"/>
        <v/>
      </c>
      <c r="N440" s="12" t="str">
        <f t="shared" si="100"/>
        <v/>
      </c>
      <c r="O440" s="12" t="str">
        <f t="shared" si="101"/>
        <v/>
      </c>
      <c r="P440" s="12" t="str">
        <f t="shared" si="102"/>
        <v/>
      </c>
      <c r="Q440" s="12" t="e">
        <f t="shared" si="106"/>
        <v>#VALUE!</v>
      </c>
      <c r="R440" s="39" t="str">
        <f t="shared" si="105"/>
        <v/>
      </c>
      <c r="V440" s="12" t="str">
        <f t="shared" si="93"/>
        <v/>
      </c>
      <c r="W440" s="22" t="str">
        <f t="shared" si="107"/>
        <v/>
      </c>
    </row>
    <row r="441" spans="7:23" x14ac:dyDescent="0.25">
      <c r="G441" s="12" t="str">
        <f t="shared" si="104"/>
        <v/>
      </c>
      <c r="H441" s="12" t="str">
        <f t="shared" si="94"/>
        <v/>
      </c>
      <c r="I441" s="12" t="str">
        <f t="shared" si="95"/>
        <v/>
      </c>
      <c r="J441" s="12" t="str">
        <f t="shared" si="96"/>
        <v/>
      </c>
      <c r="K441" s="12" t="str">
        <f t="shared" si="97"/>
        <v/>
      </c>
      <c r="L441" s="12" t="str">
        <f t="shared" si="98"/>
        <v/>
      </c>
      <c r="M441" s="12" t="str">
        <f t="shared" si="99"/>
        <v/>
      </c>
      <c r="N441" s="12" t="str">
        <f t="shared" si="100"/>
        <v/>
      </c>
      <c r="O441" s="12" t="str">
        <f t="shared" si="101"/>
        <v/>
      </c>
      <c r="P441" s="12" t="str">
        <f t="shared" si="102"/>
        <v/>
      </c>
      <c r="Q441" s="12" t="e">
        <f t="shared" si="106"/>
        <v>#VALUE!</v>
      </c>
      <c r="R441" s="39" t="str">
        <f t="shared" si="105"/>
        <v/>
      </c>
      <c r="V441" s="12" t="str">
        <f t="shared" si="93"/>
        <v/>
      </c>
      <c r="W441" s="22" t="str">
        <f t="shared" si="107"/>
        <v/>
      </c>
    </row>
    <row r="442" spans="7:23" x14ac:dyDescent="0.25">
      <c r="G442" s="12" t="str">
        <f t="shared" si="104"/>
        <v/>
      </c>
      <c r="H442" s="12" t="str">
        <f t="shared" si="94"/>
        <v/>
      </c>
      <c r="I442" s="12" t="str">
        <f t="shared" si="95"/>
        <v/>
      </c>
      <c r="J442" s="12" t="str">
        <f t="shared" si="96"/>
        <v/>
      </c>
      <c r="K442" s="12" t="str">
        <f t="shared" si="97"/>
        <v/>
      </c>
      <c r="L442" s="12" t="str">
        <f t="shared" si="98"/>
        <v/>
      </c>
      <c r="M442" s="12" t="str">
        <f t="shared" si="99"/>
        <v/>
      </c>
      <c r="N442" s="12" t="str">
        <f t="shared" si="100"/>
        <v/>
      </c>
      <c r="O442" s="12" t="str">
        <f t="shared" si="101"/>
        <v/>
      </c>
      <c r="P442" s="12" t="str">
        <f t="shared" si="102"/>
        <v/>
      </c>
      <c r="Q442" s="12" t="e">
        <f t="shared" si="106"/>
        <v>#VALUE!</v>
      </c>
      <c r="R442" s="39" t="str">
        <f t="shared" si="105"/>
        <v/>
      </c>
      <c r="V442" s="12" t="str">
        <f t="shared" si="93"/>
        <v/>
      </c>
      <c r="W442" s="22" t="str">
        <f t="shared" si="107"/>
        <v/>
      </c>
    </row>
    <row r="443" spans="7:23" x14ac:dyDescent="0.25">
      <c r="G443" s="12" t="str">
        <f t="shared" si="104"/>
        <v/>
      </c>
      <c r="H443" s="12" t="str">
        <f t="shared" si="94"/>
        <v/>
      </c>
      <c r="I443" s="12" t="str">
        <f t="shared" si="95"/>
        <v/>
      </c>
      <c r="J443" s="12" t="str">
        <f t="shared" si="96"/>
        <v/>
      </c>
      <c r="K443" s="12" t="str">
        <f t="shared" si="97"/>
        <v/>
      </c>
      <c r="L443" s="12" t="str">
        <f t="shared" si="98"/>
        <v/>
      </c>
      <c r="M443" s="12" t="str">
        <f t="shared" si="99"/>
        <v/>
      </c>
      <c r="N443" s="12" t="str">
        <f t="shared" si="100"/>
        <v/>
      </c>
      <c r="O443" s="12" t="str">
        <f t="shared" si="101"/>
        <v/>
      </c>
      <c r="P443" s="12" t="str">
        <f t="shared" si="102"/>
        <v/>
      </c>
      <c r="Q443" s="12" t="e">
        <f t="shared" si="106"/>
        <v>#VALUE!</v>
      </c>
      <c r="R443" s="39" t="str">
        <f t="shared" si="105"/>
        <v/>
      </c>
      <c r="V443" s="12" t="str">
        <f t="shared" si="93"/>
        <v/>
      </c>
      <c r="W443" s="22" t="str">
        <f t="shared" si="107"/>
        <v/>
      </c>
    </row>
    <row r="444" spans="7:23" x14ac:dyDescent="0.25">
      <c r="G444" s="12" t="str">
        <f t="shared" si="104"/>
        <v/>
      </c>
      <c r="H444" s="12" t="str">
        <f t="shared" si="94"/>
        <v/>
      </c>
      <c r="I444" s="12" t="str">
        <f t="shared" si="95"/>
        <v/>
      </c>
      <c r="J444" s="12" t="str">
        <f t="shared" si="96"/>
        <v/>
      </c>
      <c r="K444" s="12" t="str">
        <f t="shared" si="97"/>
        <v/>
      </c>
      <c r="L444" s="12" t="str">
        <f t="shared" si="98"/>
        <v/>
      </c>
      <c r="M444" s="12" t="str">
        <f t="shared" si="99"/>
        <v/>
      </c>
      <c r="N444" s="12" t="str">
        <f t="shared" si="100"/>
        <v/>
      </c>
      <c r="O444" s="12" t="str">
        <f t="shared" si="101"/>
        <v/>
      </c>
      <c r="P444" s="12" t="str">
        <f t="shared" si="102"/>
        <v/>
      </c>
      <c r="Q444" s="12" t="e">
        <f t="shared" si="106"/>
        <v>#VALUE!</v>
      </c>
      <c r="R444" s="39" t="str">
        <f t="shared" si="105"/>
        <v/>
      </c>
      <c r="V444" s="12" t="str">
        <f t="shared" si="93"/>
        <v/>
      </c>
      <c r="W444" s="22" t="str">
        <f t="shared" si="107"/>
        <v/>
      </c>
    </row>
    <row r="445" spans="7:23" x14ac:dyDescent="0.25">
      <c r="G445" s="12" t="str">
        <f t="shared" si="104"/>
        <v/>
      </c>
      <c r="H445" s="12" t="str">
        <f t="shared" si="94"/>
        <v/>
      </c>
      <c r="I445" s="12" t="str">
        <f t="shared" si="95"/>
        <v/>
      </c>
      <c r="J445" s="12" t="str">
        <f t="shared" si="96"/>
        <v/>
      </c>
      <c r="K445" s="12" t="str">
        <f t="shared" si="97"/>
        <v/>
      </c>
      <c r="L445" s="12" t="str">
        <f t="shared" si="98"/>
        <v/>
      </c>
      <c r="M445" s="12" t="str">
        <f t="shared" si="99"/>
        <v/>
      </c>
      <c r="N445" s="12" t="str">
        <f t="shared" si="100"/>
        <v/>
      </c>
      <c r="O445" s="12" t="str">
        <f t="shared" si="101"/>
        <v/>
      </c>
      <c r="P445" s="12" t="str">
        <f t="shared" si="102"/>
        <v/>
      </c>
      <c r="Q445" s="12" t="e">
        <f t="shared" si="106"/>
        <v>#VALUE!</v>
      </c>
      <c r="R445" s="39" t="str">
        <f t="shared" si="105"/>
        <v/>
      </c>
      <c r="V445" s="12" t="str">
        <f t="shared" si="93"/>
        <v/>
      </c>
      <c r="W445" s="22" t="str">
        <f t="shared" si="107"/>
        <v/>
      </c>
    </row>
    <row r="446" spans="7:23" x14ac:dyDescent="0.25">
      <c r="G446" s="12" t="str">
        <f t="shared" si="104"/>
        <v/>
      </c>
      <c r="H446" s="12" t="str">
        <f t="shared" si="94"/>
        <v/>
      </c>
      <c r="I446" s="12" t="str">
        <f t="shared" si="95"/>
        <v/>
      </c>
      <c r="J446" s="12" t="str">
        <f t="shared" si="96"/>
        <v/>
      </c>
      <c r="K446" s="12" t="str">
        <f t="shared" si="97"/>
        <v/>
      </c>
      <c r="L446" s="12" t="str">
        <f t="shared" si="98"/>
        <v/>
      </c>
      <c r="M446" s="12" t="str">
        <f t="shared" si="99"/>
        <v/>
      </c>
      <c r="N446" s="12" t="str">
        <f t="shared" si="100"/>
        <v/>
      </c>
      <c r="O446" s="12" t="str">
        <f t="shared" si="101"/>
        <v/>
      </c>
      <c r="P446" s="12" t="str">
        <f t="shared" si="102"/>
        <v/>
      </c>
      <c r="Q446" s="12" t="e">
        <f t="shared" si="106"/>
        <v>#VALUE!</v>
      </c>
      <c r="R446" s="39" t="str">
        <f t="shared" si="105"/>
        <v/>
      </c>
      <c r="V446" s="12" t="str">
        <f t="shared" si="93"/>
        <v/>
      </c>
      <c r="W446" s="22" t="str">
        <f t="shared" si="107"/>
        <v/>
      </c>
    </row>
    <row r="447" spans="7:23" x14ac:dyDescent="0.25">
      <c r="G447" s="12" t="str">
        <f t="shared" si="104"/>
        <v/>
      </c>
      <c r="H447" s="12" t="str">
        <f t="shared" si="94"/>
        <v/>
      </c>
      <c r="I447" s="12" t="str">
        <f t="shared" si="95"/>
        <v/>
      </c>
      <c r="J447" s="12" t="str">
        <f t="shared" si="96"/>
        <v/>
      </c>
      <c r="K447" s="12" t="str">
        <f t="shared" si="97"/>
        <v/>
      </c>
      <c r="L447" s="12" t="str">
        <f t="shared" si="98"/>
        <v/>
      </c>
      <c r="M447" s="12" t="str">
        <f t="shared" si="99"/>
        <v/>
      </c>
      <c r="N447" s="12" t="str">
        <f t="shared" si="100"/>
        <v/>
      </c>
      <c r="O447" s="12" t="str">
        <f t="shared" si="101"/>
        <v/>
      </c>
      <c r="P447" s="12" t="str">
        <f t="shared" si="102"/>
        <v/>
      </c>
      <c r="Q447" s="12" t="e">
        <f t="shared" si="106"/>
        <v>#VALUE!</v>
      </c>
      <c r="R447" s="39" t="str">
        <f t="shared" si="105"/>
        <v/>
      </c>
      <c r="V447" s="12" t="str">
        <f t="shared" si="93"/>
        <v/>
      </c>
      <c r="W447" s="22" t="str">
        <f t="shared" si="107"/>
        <v/>
      </c>
    </row>
    <row r="448" spans="7:23" x14ac:dyDescent="0.25">
      <c r="G448" s="12" t="str">
        <f t="shared" si="104"/>
        <v/>
      </c>
      <c r="H448" s="12" t="str">
        <f t="shared" si="94"/>
        <v/>
      </c>
      <c r="I448" s="12" t="str">
        <f t="shared" si="95"/>
        <v/>
      </c>
      <c r="J448" s="12" t="str">
        <f t="shared" si="96"/>
        <v/>
      </c>
      <c r="K448" s="12" t="str">
        <f t="shared" si="97"/>
        <v/>
      </c>
      <c r="L448" s="12" t="str">
        <f t="shared" si="98"/>
        <v/>
      </c>
      <c r="M448" s="12" t="str">
        <f t="shared" si="99"/>
        <v/>
      </c>
      <c r="N448" s="12" t="str">
        <f t="shared" si="100"/>
        <v/>
      </c>
      <c r="O448" s="12" t="str">
        <f t="shared" si="101"/>
        <v/>
      </c>
      <c r="P448" s="12" t="str">
        <f t="shared" si="102"/>
        <v/>
      </c>
      <c r="Q448" s="12" t="e">
        <f t="shared" si="106"/>
        <v>#VALUE!</v>
      </c>
      <c r="R448" s="39" t="str">
        <f t="shared" si="105"/>
        <v/>
      </c>
      <c r="V448" s="12" t="str">
        <f t="shared" si="93"/>
        <v/>
      </c>
      <c r="W448" s="22" t="str">
        <f t="shared" si="107"/>
        <v/>
      </c>
    </row>
    <row r="449" spans="7:23" x14ac:dyDescent="0.25">
      <c r="G449" s="12" t="str">
        <f t="shared" si="104"/>
        <v/>
      </c>
      <c r="H449" s="12" t="str">
        <f t="shared" si="94"/>
        <v/>
      </c>
      <c r="I449" s="12" t="str">
        <f t="shared" si="95"/>
        <v/>
      </c>
      <c r="J449" s="12" t="str">
        <f t="shared" si="96"/>
        <v/>
      </c>
      <c r="K449" s="12" t="str">
        <f t="shared" si="97"/>
        <v/>
      </c>
      <c r="L449" s="12" t="str">
        <f t="shared" si="98"/>
        <v/>
      </c>
      <c r="M449" s="12" t="str">
        <f t="shared" si="99"/>
        <v/>
      </c>
      <c r="N449" s="12" t="str">
        <f t="shared" si="100"/>
        <v/>
      </c>
      <c r="O449" s="12" t="str">
        <f t="shared" si="101"/>
        <v/>
      </c>
      <c r="P449" s="12" t="str">
        <f t="shared" si="102"/>
        <v/>
      </c>
      <c r="Q449" s="12" t="e">
        <f t="shared" si="106"/>
        <v>#VALUE!</v>
      </c>
      <c r="R449" s="39" t="str">
        <f t="shared" si="105"/>
        <v/>
      </c>
      <c r="V449" s="12" t="str">
        <f t="shared" si="93"/>
        <v/>
      </c>
      <c r="W449" s="22" t="str">
        <f t="shared" si="107"/>
        <v/>
      </c>
    </row>
    <row r="450" spans="7:23" x14ac:dyDescent="0.25">
      <c r="G450" s="12" t="str">
        <f t="shared" si="104"/>
        <v/>
      </c>
      <c r="H450" s="12" t="str">
        <f t="shared" si="94"/>
        <v/>
      </c>
      <c r="I450" s="12" t="str">
        <f t="shared" si="95"/>
        <v/>
      </c>
      <c r="J450" s="12" t="str">
        <f t="shared" si="96"/>
        <v/>
      </c>
      <c r="K450" s="12" t="str">
        <f t="shared" si="97"/>
        <v/>
      </c>
      <c r="L450" s="12" t="str">
        <f t="shared" si="98"/>
        <v/>
      </c>
      <c r="M450" s="12" t="str">
        <f t="shared" si="99"/>
        <v/>
      </c>
      <c r="N450" s="12" t="str">
        <f t="shared" si="100"/>
        <v/>
      </c>
      <c r="O450" s="12" t="str">
        <f t="shared" si="101"/>
        <v/>
      </c>
      <c r="P450" s="12" t="str">
        <f t="shared" si="102"/>
        <v/>
      </c>
      <c r="Q450" s="12" t="e">
        <f t="shared" si="106"/>
        <v>#VALUE!</v>
      </c>
      <c r="R450" s="39" t="str">
        <f t="shared" si="105"/>
        <v/>
      </c>
      <c r="V450" s="12" t="str">
        <f t="shared" si="93"/>
        <v/>
      </c>
      <c r="W450" s="22" t="str">
        <f t="shared" si="107"/>
        <v/>
      </c>
    </row>
    <row r="451" spans="7:23" x14ac:dyDescent="0.25">
      <c r="G451" s="12" t="str">
        <f t="shared" si="104"/>
        <v/>
      </c>
      <c r="H451" s="12" t="str">
        <f t="shared" si="94"/>
        <v/>
      </c>
      <c r="I451" s="12" t="str">
        <f t="shared" si="95"/>
        <v/>
      </c>
      <c r="J451" s="12" t="str">
        <f t="shared" si="96"/>
        <v/>
      </c>
      <c r="K451" s="12" t="str">
        <f t="shared" si="97"/>
        <v/>
      </c>
      <c r="L451" s="12" t="str">
        <f t="shared" si="98"/>
        <v/>
      </c>
      <c r="M451" s="12" t="str">
        <f t="shared" si="99"/>
        <v/>
      </c>
      <c r="N451" s="12" t="str">
        <f t="shared" si="100"/>
        <v/>
      </c>
      <c r="O451" s="12" t="str">
        <f t="shared" si="101"/>
        <v/>
      </c>
      <c r="P451" s="12" t="str">
        <f t="shared" si="102"/>
        <v/>
      </c>
      <c r="Q451" s="12" t="e">
        <f t="shared" si="106"/>
        <v>#VALUE!</v>
      </c>
      <c r="R451" s="39" t="str">
        <f t="shared" si="105"/>
        <v/>
      </c>
      <c r="V451" s="12" t="str">
        <f t="shared" si="93"/>
        <v/>
      </c>
      <c r="W451" s="22" t="str">
        <f t="shared" si="107"/>
        <v/>
      </c>
    </row>
    <row r="452" spans="7:23" x14ac:dyDescent="0.25">
      <c r="G452" s="12" t="str">
        <f t="shared" si="104"/>
        <v/>
      </c>
      <c r="H452" s="12" t="str">
        <f t="shared" si="94"/>
        <v/>
      </c>
      <c r="I452" s="12" t="str">
        <f t="shared" si="95"/>
        <v/>
      </c>
      <c r="J452" s="12" t="str">
        <f t="shared" si="96"/>
        <v/>
      </c>
      <c r="K452" s="12" t="str">
        <f t="shared" si="97"/>
        <v/>
      </c>
      <c r="L452" s="12" t="str">
        <f t="shared" si="98"/>
        <v/>
      </c>
      <c r="M452" s="12" t="str">
        <f t="shared" si="99"/>
        <v/>
      </c>
      <c r="N452" s="12" t="str">
        <f t="shared" si="100"/>
        <v/>
      </c>
      <c r="O452" s="12" t="str">
        <f t="shared" si="101"/>
        <v/>
      </c>
      <c r="P452" s="12" t="str">
        <f t="shared" si="102"/>
        <v/>
      </c>
      <c r="Q452" s="12" t="e">
        <f t="shared" si="106"/>
        <v>#VALUE!</v>
      </c>
      <c r="R452" s="39" t="str">
        <f t="shared" si="105"/>
        <v/>
      </c>
      <c r="V452" s="12" t="str">
        <f t="shared" si="93"/>
        <v/>
      </c>
      <c r="W452" s="22" t="str">
        <f t="shared" si="107"/>
        <v/>
      </c>
    </row>
    <row r="453" spans="7:23" x14ac:dyDescent="0.25">
      <c r="G453" s="12" t="str">
        <f t="shared" si="104"/>
        <v/>
      </c>
      <c r="H453" s="12" t="str">
        <f t="shared" si="94"/>
        <v/>
      </c>
      <c r="I453" s="12" t="str">
        <f t="shared" si="95"/>
        <v/>
      </c>
      <c r="J453" s="12" t="str">
        <f t="shared" si="96"/>
        <v/>
      </c>
      <c r="K453" s="12" t="str">
        <f t="shared" si="97"/>
        <v/>
      </c>
      <c r="L453" s="12" t="str">
        <f t="shared" si="98"/>
        <v/>
      </c>
      <c r="M453" s="12" t="str">
        <f t="shared" si="99"/>
        <v/>
      </c>
      <c r="N453" s="12" t="str">
        <f t="shared" si="100"/>
        <v/>
      </c>
      <c r="O453" s="12" t="str">
        <f t="shared" si="101"/>
        <v/>
      </c>
      <c r="P453" s="12" t="str">
        <f t="shared" si="102"/>
        <v/>
      </c>
      <c r="Q453" s="12" t="e">
        <f t="shared" si="106"/>
        <v>#VALUE!</v>
      </c>
      <c r="R453" s="39" t="str">
        <f t="shared" si="105"/>
        <v/>
      </c>
      <c r="V453" s="12" t="str">
        <f t="shared" si="93"/>
        <v/>
      </c>
      <c r="W453" s="22" t="str">
        <f t="shared" si="107"/>
        <v/>
      </c>
    </row>
    <row r="454" spans="7:23" x14ac:dyDescent="0.25">
      <c r="G454" s="12" t="str">
        <f t="shared" si="104"/>
        <v/>
      </c>
      <c r="H454" s="12" t="str">
        <f t="shared" si="94"/>
        <v/>
      </c>
      <c r="I454" s="12" t="str">
        <f t="shared" si="95"/>
        <v/>
      </c>
      <c r="J454" s="12" t="str">
        <f t="shared" si="96"/>
        <v/>
      </c>
      <c r="K454" s="12" t="str">
        <f t="shared" si="97"/>
        <v/>
      </c>
      <c r="L454" s="12" t="str">
        <f t="shared" si="98"/>
        <v/>
      </c>
      <c r="M454" s="12" t="str">
        <f t="shared" si="99"/>
        <v/>
      </c>
      <c r="N454" s="12" t="str">
        <f t="shared" si="100"/>
        <v/>
      </c>
      <c r="O454" s="12" t="str">
        <f t="shared" si="101"/>
        <v/>
      </c>
      <c r="P454" s="12" t="str">
        <f t="shared" si="102"/>
        <v/>
      </c>
      <c r="Q454" s="12" t="e">
        <f t="shared" si="106"/>
        <v>#VALUE!</v>
      </c>
      <c r="R454" s="39" t="str">
        <f t="shared" si="105"/>
        <v/>
      </c>
      <c r="V454" s="12" t="str">
        <f t="shared" si="93"/>
        <v/>
      </c>
      <c r="W454" s="22" t="str">
        <f t="shared" si="107"/>
        <v/>
      </c>
    </row>
    <row r="455" spans="7:23" x14ac:dyDescent="0.25">
      <c r="G455" s="12" t="str">
        <f t="shared" si="104"/>
        <v/>
      </c>
      <c r="H455" s="12" t="str">
        <f t="shared" si="94"/>
        <v/>
      </c>
      <c r="I455" s="12" t="str">
        <f t="shared" si="95"/>
        <v/>
      </c>
      <c r="J455" s="12" t="str">
        <f t="shared" si="96"/>
        <v/>
      </c>
      <c r="K455" s="12" t="str">
        <f t="shared" si="97"/>
        <v/>
      </c>
      <c r="L455" s="12" t="str">
        <f t="shared" si="98"/>
        <v/>
      </c>
      <c r="M455" s="12" t="str">
        <f t="shared" si="99"/>
        <v/>
      </c>
      <c r="N455" s="12" t="str">
        <f t="shared" si="100"/>
        <v/>
      </c>
      <c r="O455" s="12" t="str">
        <f t="shared" si="101"/>
        <v/>
      </c>
      <c r="P455" s="12" t="str">
        <f t="shared" si="102"/>
        <v/>
      </c>
      <c r="Q455" s="12" t="e">
        <f t="shared" si="106"/>
        <v>#VALUE!</v>
      </c>
      <c r="R455" s="39" t="str">
        <f t="shared" si="105"/>
        <v/>
      </c>
      <c r="V455" s="12" t="str">
        <f t="shared" si="93"/>
        <v/>
      </c>
      <c r="W455" s="22" t="str">
        <f t="shared" si="107"/>
        <v/>
      </c>
    </row>
    <row r="456" spans="7:23" x14ac:dyDescent="0.25">
      <c r="G456" s="12" t="str">
        <f t="shared" si="104"/>
        <v/>
      </c>
      <c r="H456" s="12" t="str">
        <f t="shared" si="94"/>
        <v/>
      </c>
      <c r="I456" s="12" t="str">
        <f t="shared" si="95"/>
        <v/>
      </c>
      <c r="J456" s="12" t="str">
        <f t="shared" si="96"/>
        <v/>
      </c>
      <c r="K456" s="12" t="str">
        <f t="shared" si="97"/>
        <v/>
      </c>
      <c r="L456" s="12" t="str">
        <f t="shared" si="98"/>
        <v/>
      </c>
      <c r="M456" s="12" t="str">
        <f t="shared" si="99"/>
        <v/>
      </c>
      <c r="N456" s="12" t="str">
        <f t="shared" si="100"/>
        <v/>
      </c>
      <c r="O456" s="12" t="str">
        <f t="shared" si="101"/>
        <v/>
      </c>
      <c r="P456" s="12" t="str">
        <f t="shared" si="102"/>
        <v/>
      </c>
      <c r="Q456" s="12" t="e">
        <f t="shared" si="106"/>
        <v>#VALUE!</v>
      </c>
      <c r="R456" s="39" t="str">
        <f t="shared" si="105"/>
        <v/>
      </c>
      <c r="V456" s="12" t="str">
        <f t="shared" si="93"/>
        <v/>
      </c>
      <c r="W456" s="22" t="str">
        <f t="shared" si="107"/>
        <v/>
      </c>
    </row>
    <row r="457" spans="7:23" x14ac:dyDescent="0.25">
      <c r="G457" s="12" t="str">
        <f t="shared" si="104"/>
        <v/>
      </c>
      <c r="H457" s="12" t="str">
        <f t="shared" si="94"/>
        <v/>
      </c>
      <c r="I457" s="12" t="str">
        <f t="shared" si="95"/>
        <v/>
      </c>
      <c r="J457" s="12" t="str">
        <f t="shared" si="96"/>
        <v/>
      </c>
      <c r="K457" s="12" t="str">
        <f t="shared" si="97"/>
        <v/>
      </c>
      <c r="L457" s="12" t="str">
        <f t="shared" si="98"/>
        <v/>
      </c>
      <c r="M457" s="12" t="str">
        <f t="shared" si="99"/>
        <v/>
      </c>
      <c r="N457" s="12" t="str">
        <f t="shared" si="100"/>
        <v/>
      </c>
      <c r="O457" s="12" t="str">
        <f t="shared" si="101"/>
        <v/>
      </c>
      <c r="P457" s="12" t="str">
        <f t="shared" si="102"/>
        <v/>
      </c>
      <c r="Q457" s="12" t="e">
        <f t="shared" si="106"/>
        <v>#VALUE!</v>
      </c>
      <c r="R457" s="39" t="str">
        <f t="shared" si="105"/>
        <v/>
      </c>
      <c r="V457" s="12" t="str">
        <f t="shared" si="93"/>
        <v/>
      </c>
      <c r="W457" s="22" t="str">
        <f t="shared" si="107"/>
        <v/>
      </c>
    </row>
    <row r="458" spans="7:23" x14ac:dyDescent="0.25">
      <c r="G458" s="12" t="str">
        <f t="shared" si="104"/>
        <v/>
      </c>
      <c r="H458" s="12" t="str">
        <f t="shared" si="94"/>
        <v/>
      </c>
      <c r="I458" s="12" t="str">
        <f t="shared" si="95"/>
        <v/>
      </c>
      <c r="J458" s="12" t="str">
        <f t="shared" si="96"/>
        <v/>
      </c>
      <c r="K458" s="12" t="str">
        <f t="shared" si="97"/>
        <v/>
      </c>
      <c r="L458" s="12" t="str">
        <f t="shared" si="98"/>
        <v/>
      </c>
      <c r="M458" s="12" t="str">
        <f t="shared" si="99"/>
        <v/>
      </c>
      <c r="N458" s="12" t="str">
        <f t="shared" si="100"/>
        <v/>
      </c>
      <c r="O458" s="12" t="str">
        <f t="shared" si="101"/>
        <v/>
      </c>
      <c r="P458" s="12" t="str">
        <f t="shared" si="102"/>
        <v/>
      </c>
      <c r="Q458" s="12" t="e">
        <f t="shared" si="106"/>
        <v>#VALUE!</v>
      </c>
      <c r="R458" s="39" t="str">
        <f t="shared" si="105"/>
        <v/>
      </c>
      <c r="V458" s="12" t="str">
        <f t="shared" si="93"/>
        <v/>
      </c>
      <c r="W458" s="22" t="str">
        <f t="shared" si="107"/>
        <v/>
      </c>
    </row>
    <row r="459" spans="7:23" x14ac:dyDescent="0.25">
      <c r="G459" s="12" t="str">
        <f t="shared" si="104"/>
        <v/>
      </c>
      <c r="H459" s="12" t="str">
        <f t="shared" si="94"/>
        <v/>
      </c>
      <c r="I459" s="12" t="str">
        <f t="shared" si="95"/>
        <v/>
      </c>
      <c r="J459" s="12" t="str">
        <f t="shared" si="96"/>
        <v/>
      </c>
      <c r="K459" s="12" t="str">
        <f t="shared" si="97"/>
        <v/>
      </c>
      <c r="L459" s="12" t="str">
        <f t="shared" si="98"/>
        <v/>
      </c>
      <c r="M459" s="12" t="str">
        <f t="shared" si="99"/>
        <v/>
      </c>
      <c r="N459" s="12" t="str">
        <f t="shared" si="100"/>
        <v/>
      </c>
      <c r="O459" s="12" t="str">
        <f t="shared" si="101"/>
        <v/>
      </c>
      <c r="P459" s="12" t="str">
        <f t="shared" si="102"/>
        <v/>
      </c>
      <c r="Q459" s="12" t="e">
        <f t="shared" si="106"/>
        <v>#VALUE!</v>
      </c>
      <c r="R459" s="39" t="str">
        <f t="shared" si="105"/>
        <v/>
      </c>
      <c r="V459" s="12" t="str">
        <f t="shared" si="93"/>
        <v/>
      </c>
      <c r="W459" s="22" t="str">
        <f t="shared" si="107"/>
        <v/>
      </c>
    </row>
    <row r="460" spans="7:23" x14ac:dyDescent="0.25">
      <c r="G460" s="12" t="str">
        <f t="shared" si="104"/>
        <v/>
      </c>
      <c r="H460" s="12" t="str">
        <f t="shared" si="94"/>
        <v/>
      </c>
      <c r="I460" s="12" t="str">
        <f t="shared" si="95"/>
        <v/>
      </c>
      <c r="J460" s="12" t="str">
        <f t="shared" si="96"/>
        <v/>
      </c>
      <c r="K460" s="12" t="str">
        <f t="shared" si="97"/>
        <v/>
      </c>
      <c r="L460" s="12" t="str">
        <f t="shared" si="98"/>
        <v/>
      </c>
      <c r="M460" s="12" t="str">
        <f t="shared" si="99"/>
        <v/>
      </c>
      <c r="N460" s="12" t="str">
        <f t="shared" si="100"/>
        <v/>
      </c>
      <c r="O460" s="12" t="str">
        <f t="shared" si="101"/>
        <v/>
      </c>
      <c r="P460" s="12" t="str">
        <f t="shared" si="102"/>
        <v/>
      </c>
      <c r="Q460" s="12" t="e">
        <f t="shared" si="106"/>
        <v>#VALUE!</v>
      </c>
      <c r="R460" s="39" t="str">
        <f t="shared" si="105"/>
        <v/>
      </c>
      <c r="V460" s="12" t="str">
        <f t="shared" si="93"/>
        <v/>
      </c>
      <c r="W460" s="22" t="str">
        <f t="shared" si="107"/>
        <v/>
      </c>
    </row>
    <row r="461" spans="7:23" x14ac:dyDescent="0.25">
      <c r="G461" s="12" t="str">
        <f t="shared" si="104"/>
        <v/>
      </c>
      <c r="H461" s="12" t="str">
        <f t="shared" si="94"/>
        <v/>
      </c>
      <c r="I461" s="12" t="str">
        <f t="shared" si="95"/>
        <v/>
      </c>
      <c r="J461" s="12" t="str">
        <f t="shared" si="96"/>
        <v/>
      </c>
      <c r="K461" s="12" t="str">
        <f t="shared" si="97"/>
        <v/>
      </c>
      <c r="L461" s="12" t="str">
        <f t="shared" si="98"/>
        <v/>
      </c>
      <c r="M461" s="12" t="str">
        <f t="shared" si="99"/>
        <v/>
      </c>
      <c r="N461" s="12" t="str">
        <f t="shared" si="100"/>
        <v/>
      </c>
      <c r="O461" s="12" t="str">
        <f t="shared" si="101"/>
        <v/>
      </c>
      <c r="P461" s="12" t="str">
        <f t="shared" si="102"/>
        <v/>
      </c>
      <c r="Q461" s="12" t="e">
        <f t="shared" si="106"/>
        <v>#VALUE!</v>
      </c>
      <c r="R461" s="39" t="str">
        <f t="shared" si="105"/>
        <v/>
      </c>
      <c r="V461" s="12" t="str">
        <f t="shared" si="93"/>
        <v/>
      </c>
      <c r="W461" s="22" t="str">
        <f t="shared" si="107"/>
        <v/>
      </c>
    </row>
    <row r="462" spans="7:23" x14ac:dyDescent="0.25">
      <c r="G462" s="12" t="str">
        <f t="shared" si="104"/>
        <v/>
      </c>
      <c r="H462" s="12" t="str">
        <f t="shared" si="94"/>
        <v/>
      </c>
      <c r="I462" s="12" t="str">
        <f t="shared" si="95"/>
        <v/>
      </c>
      <c r="J462" s="12" t="str">
        <f t="shared" si="96"/>
        <v/>
      </c>
      <c r="K462" s="12" t="str">
        <f t="shared" si="97"/>
        <v/>
      </c>
      <c r="L462" s="12" t="str">
        <f t="shared" si="98"/>
        <v/>
      </c>
      <c r="M462" s="12" t="str">
        <f t="shared" si="99"/>
        <v/>
      </c>
      <c r="N462" s="12" t="str">
        <f t="shared" si="100"/>
        <v/>
      </c>
      <c r="O462" s="12" t="str">
        <f t="shared" si="101"/>
        <v/>
      </c>
      <c r="P462" s="12" t="str">
        <f t="shared" si="102"/>
        <v/>
      </c>
      <c r="Q462" s="12" t="e">
        <f t="shared" si="106"/>
        <v>#VALUE!</v>
      </c>
      <c r="R462" s="39" t="str">
        <f t="shared" si="105"/>
        <v/>
      </c>
      <c r="V462" s="12" t="str">
        <f t="shared" si="93"/>
        <v/>
      </c>
      <c r="W462" s="22" t="str">
        <f t="shared" si="107"/>
        <v/>
      </c>
    </row>
    <row r="463" spans="7:23" x14ac:dyDescent="0.25">
      <c r="G463" s="12" t="str">
        <f t="shared" si="104"/>
        <v/>
      </c>
      <c r="H463" s="12" t="str">
        <f t="shared" si="94"/>
        <v/>
      </c>
      <c r="I463" s="12" t="str">
        <f t="shared" si="95"/>
        <v/>
      </c>
      <c r="J463" s="12" t="str">
        <f t="shared" si="96"/>
        <v/>
      </c>
      <c r="K463" s="12" t="str">
        <f t="shared" si="97"/>
        <v/>
      </c>
      <c r="L463" s="12" t="str">
        <f t="shared" si="98"/>
        <v/>
      </c>
      <c r="M463" s="12" t="str">
        <f t="shared" si="99"/>
        <v/>
      </c>
      <c r="N463" s="12" t="str">
        <f t="shared" si="100"/>
        <v/>
      </c>
      <c r="O463" s="12" t="str">
        <f t="shared" si="101"/>
        <v/>
      </c>
      <c r="P463" s="12" t="str">
        <f t="shared" si="102"/>
        <v/>
      </c>
      <c r="Q463" s="12" t="e">
        <f t="shared" si="106"/>
        <v>#VALUE!</v>
      </c>
      <c r="R463" s="39" t="str">
        <f t="shared" si="105"/>
        <v/>
      </c>
      <c r="V463" s="12" t="str">
        <f t="shared" si="93"/>
        <v/>
      </c>
      <c r="W463" s="22" t="str">
        <f t="shared" si="107"/>
        <v/>
      </c>
    </row>
    <row r="464" spans="7:23" x14ac:dyDescent="0.25">
      <c r="G464" s="12" t="str">
        <f t="shared" si="104"/>
        <v/>
      </c>
      <c r="H464" s="12" t="str">
        <f t="shared" si="94"/>
        <v/>
      </c>
      <c r="I464" s="12" t="str">
        <f t="shared" si="95"/>
        <v/>
      </c>
      <c r="J464" s="12" t="str">
        <f t="shared" si="96"/>
        <v/>
      </c>
      <c r="K464" s="12" t="str">
        <f t="shared" si="97"/>
        <v/>
      </c>
      <c r="L464" s="12" t="str">
        <f t="shared" si="98"/>
        <v/>
      </c>
      <c r="M464" s="12" t="str">
        <f t="shared" si="99"/>
        <v/>
      </c>
      <c r="N464" s="12" t="str">
        <f t="shared" si="100"/>
        <v/>
      </c>
      <c r="O464" s="12" t="str">
        <f t="shared" si="101"/>
        <v/>
      </c>
      <c r="P464" s="12" t="str">
        <f t="shared" si="102"/>
        <v/>
      </c>
      <c r="Q464" s="12" t="e">
        <f t="shared" si="106"/>
        <v>#VALUE!</v>
      </c>
      <c r="R464" s="39" t="str">
        <f t="shared" si="105"/>
        <v/>
      </c>
      <c r="V464" s="12" t="str">
        <f t="shared" si="93"/>
        <v/>
      </c>
      <c r="W464" s="22" t="str">
        <f t="shared" si="107"/>
        <v/>
      </c>
    </row>
    <row r="465" spans="7:23" x14ac:dyDescent="0.25">
      <c r="G465" s="12" t="str">
        <f t="shared" si="104"/>
        <v/>
      </c>
      <c r="H465" s="12" t="str">
        <f t="shared" si="94"/>
        <v/>
      </c>
      <c r="I465" s="12" t="str">
        <f t="shared" si="95"/>
        <v/>
      </c>
      <c r="J465" s="12" t="str">
        <f t="shared" si="96"/>
        <v/>
      </c>
      <c r="K465" s="12" t="str">
        <f t="shared" si="97"/>
        <v/>
      </c>
      <c r="L465" s="12" t="str">
        <f t="shared" si="98"/>
        <v/>
      </c>
      <c r="M465" s="12" t="str">
        <f t="shared" si="99"/>
        <v/>
      </c>
      <c r="N465" s="12" t="str">
        <f t="shared" si="100"/>
        <v/>
      </c>
      <c r="O465" s="12" t="str">
        <f t="shared" si="101"/>
        <v/>
      </c>
      <c r="P465" s="12" t="str">
        <f t="shared" si="102"/>
        <v/>
      </c>
      <c r="Q465" s="12" t="e">
        <f t="shared" si="106"/>
        <v>#VALUE!</v>
      </c>
      <c r="R465" s="39" t="str">
        <f t="shared" si="105"/>
        <v/>
      </c>
      <c r="V465" s="12" t="str">
        <f t="shared" ref="V465:V528" si="108">H465</f>
        <v/>
      </c>
      <c r="W465" s="22" t="str">
        <f t="shared" si="107"/>
        <v/>
      </c>
    </row>
    <row r="466" spans="7:23" x14ac:dyDescent="0.25">
      <c r="G466" s="12" t="str">
        <f t="shared" si="104"/>
        <v/>
      </c>
      <c r="H466" s="12" t="str">
        <f t="shared" ref="H466:H529" si="109">IFERROR(IF(E466=1,Q466,""),"")</f>
        <v/>
      </c>
      <c r="I466" s="12" t="str">
        <f t="shared" ref="I466:I529" si="110">IFERROR(IF(E466=2,Q466,""),"")</f>
        <v/>
      </c>
      <c r="J466" s="12" t="str">
        <f t="shared" ref="J466:J529" si="111">IFERROR(IF(E466=3,Q466,""),"")</f>
        <v/>
      </c>
      <c r="K466" s="12" t="str">
        <f t="shared" ref="K466:K529" si="112">IFERROR(IF(E466=4,Q466,""),"")</f>
        <v/>
      </c>
      <c r="L466" s="12" t="str">
        <f t="shared" ref="L466:L529" si="113">IFERROR(IF(E466=5,Q466,""),"")</f>
        <v/>
      </c>
      <c r="M466" s="12" t="str">
        <f t="shared" ref="M466:M529" si="114">IFERROR(IF(E466=6,Q466,""),"")</f>
        <v/>
      </c>
      <c r="N466" s="12" t="str">
        <f t="shared" ref="N466:N529" si="115">IFERROR(IF(E466=7,Q466,""),"")</f>
        <v/>
      </c>
      <c r="O466" s="12" t="str">
        <f t="shared" ref="O466:O529" si="116">IFERROR(IF(E466=8,Q466,""),"")</f>
        <v/>
      </c>
      <c r="P466" s="12" t="str">
        <f t="shared" ref="P466:P529" si="117">IFERROR(IF(E466=9,Q466,""),"")</f>
        <v/>
      </c>
      <c r="Q466" s="12" t="e">
        <f t="shared" si="106"/>
        <v>#VALUE!</v>
      </c>
      <c r="R466" s="39" t="str">
        <f t="shared" si="105"/>
        <v/>
      </c>
      <c r="V466" s="12" t="str">
        <f t="shared" si="108"/>
        <v/>
      </c>
      <c r="W466" s="22" t="str">
        <f t="shared" si="107"/>
        <v/>
      </c>
    </row>
    <row r="467" spans="7:23" x14ac:dyDescent="0.25">
      <c r="G467" s="12" t="str">
        <f t="shared" si="104"/>
        <v/>
      </c>
      <c r="H467" s="12" t="str">
        <f t="shared" si="109"/>
        <v/>
      </c>
      <c r="I467" s="12" t="str">
        <f t="shared" si="110"/>
        <v/>
      </c>
      <c r="J467" s="12" t="str">
        <f t="shared" si="111"/>
        <v/>
      </c>
      <c r="K467" s="12" t="str">
        <f t="shared" si="112"/>
        <v/>
      </c>
      <c r="L467" s="12" t="str">
        <f t="shared" si="113"/>
        <v/>
      </c>
      <c r="M467" s="12" t="str">
        <f t="shared" si="114"/>
        <v/>
      </c>
      <c r="N467" s="12" t="str">
        <f t="shared" si="115"/>
        <v/>
      </c>
      <c r="O467" s="12" t="str">
        <f t="shared" si="116"/>
        <v/>
      </c>
      <c r="P467" s="12" t="str">
        <f t="shared" si="117"/>
        <v/>
      </c>
      <c r="Q467" s="12" t="e">
        <f t="shared" si="106"/>
        <v>#VALUE!</v>
      </c>
      <c r="R467" s="39" t="str">
        <f t="shared" si="105"/>
        <v/>
      </c>
      <c r="V467" s="12" t="str">
        <f t="shared" si="108"/>
        <v/>
      </c>
      <c r="W467" s="22" t="str">
        <f t="shared" si="107"/>
        <v/>
      </c>
    </row>
    <row r="468" spans="7:23" x14ac:dyDescent="0.25">
      <c r="G468" s="12" t="str">
        <f t="shared" si="104"/>
        <v/>
      </c>
      <c r="H468" s="12" t="str">
        <f t="shared" si="109"/>
        <v/>
      </c>
      <c r="I468" s="12" t="str">
        <f t="shared" si="110"/>
        <v/>
      </c>
      <c r="J468" s="12" t="str">
        <f t="shared" si="111"/>
        <v/>
      </c>
      <c r="K468" s="12" t="str">
        <f t="shared" si="112"/>
        <v/>
      </c>
      <c r="L468" s="12" t="str">
        <f t="shared" si="113"/>
        <v/>
      </c>
      <c r="M468" s="12" t="str">
        <f t="shared" si="114"/>
        <v/>
      </c>
      <c r="N468" s="12" t="str">
        <f t="shared" si="115"/>
        <v/>
      </c>
      <c r="O468" s="12" t="str">
        <f t="shared" si="116"/>
        <v/>
      </c>
      <c r="P468" s="12" t="str">
        <f t="shared" si="117"/>
        <v/>
      </c>
      <c r="Q468" s="12" t="e">
        <f t="shared" si="106"/>
        <v>#VALUE!</v>
      </c>
      <c r="R468" s="39" t="str">
        <f t="shared" si="105"/>
        <v/>
      </c>
      <c r="V468" s="12" t="str">
        <f t="shared" si="108"/>
        <v/>
      </c>
      <c r="W468" s="22" t="str">
        <f t="shared" si="107"/>
        <v/>
      </c>
    </row>
    <row r="469" spans="7:23" x14ac:dyDescent="0.25">
      <c r="G469" s="12" t="str">
        <f t="shared" si="104"/>
        <v/>
      </c>
      <c r="H469" s="12" t="str">
        <f t="shared" si="109"/>
        <v/>
      </c>
      <c r="I469" s="12" t="str">
        <f t="shared" si="110"/>
        <v/>
      </c>
      <c r="J469" s="12" t="str">
        <f t="shared" si="111"/>
        <v/>
      </c>
      <c r="K469" s="12" t="str">
        <f t="shared" si="112"/>
        <v/>
      </c>
      <c r="L469" s="12" t="str">
        <f t="shared" si="113"/>
        <v/>
      </c>
      <c r="M469" s="12" t="str">
        <f t="shared" si="114"/>
        <v/>
      </c>
      <c r="N469" s="12" t="str">
        <f t="shared" si="115"/>
        <v/>
      </c>
      <c r="O469" s="12" t="str">
        <f t="shared" si="116"/>
        <v/>
      </c>
      <c r="P469" s="12" t="str">
        <f t="shared" si="117"/>
        <v/>
      </c>
      <c r="Q469" s="12" t="e">
        <f t="shared" si="106"/>
        <v>#VALUE!</v>
      </c>
      <c r="R469" s="39" t="str">
        <f t="shared" si="105"/>
        <v/>
      </c>
      <c r="V469" s="12" t="str">
        <f t="shared" si="108"/>
        <v/>
      </c>
      <c r="W469" s="22" t="str">
        <f t="shared" si="107"/>
        <v/>
      </c>
    </row>
    <row r="470" spans="7:23" x14ac:dyDescent="0.25">
      <c r="G470" s="12" t="str">
        <f t="shared" ref="G470:G533" si="118">IF(LEN(F470)=5,TIMEVALUE(LEFT(F470,1)&amp;":"&amp;MID(F470,2,2)&amp;":"&amp;RIGHT(F470,2)),IF(LEN(F470)=6,TIMEVALUE(LEFT(F470,2)&amp;":"&amp;MID(F470,3,2)&amp;":"&amp;RIGHT(F470,2)),""))</f>
        <v/>
      </c>
      <c r="H470" s="12" t="str">
        <f t="shared" si="109"/>
        <v/>
      </c>
      <c r="I470" s="12" t="str">
        <f t="shared" si="110"/>
        <v/>
      </c>
      <c r="J470" s="12" t="str">
        <f t="shared" si="111"/>
        <v/>
      </c>
      <c r="K470" s="12" t="str">
        <f t="shared" si="112"/>
        <v/>
      </c>
      <c r="L470" s="12" t="str">
        <f t="shared" si="113"/>
        <v/>
      </c>
      <c r="M470" s="12" t="str">
        <f t="shared" si="114"/>
        <v/>
      </c>
      <c r="N470" s="12" t="str">
        <f t="shared" si="115"/>
        <v/>
      </c>
      <c r="O470" s="12" t="str">
        <f t="shared" si="116"/>
        <v/>
      </c>
      <c r="P470" s="12" t="str">
        <f t="shared" si="117"/>
        <v/>
      </c>
      <c r="Q470" s="12" t="e">
        <f t="shared" si="106"/>
        <v>#VALUE!</v>
      </c>
      <c r="R470" s="39" t="str">
        <f t="shared" ref="R470:R533" si="119">IF(H470="","",HOUR(H470)*60+MINUTE(H470)+SECOND(H470)/60)</f>
        <v/>
      </c>
      <c r="V470" s="12" t="str">
        <f t="shared" si="108"/>
        <v/>
      </c>
      <c r="W470" s="22" t="str">
        <f t="shared" si="107"/>
        <v/>
      </c>
    </row>
    <row r="471" spans="7:23" x14ac:dyDescent="0.25">
      <c r="G471" s="12" t="str">
        <f t="shared" si="118"/>
        <v/>
      </c>
      <c r="H471" s="12" t="str">
        <f t="shared" si="109"/>
        <v/>
      </c>
      <c r="I471" s="12" t="str">
        <f t="shared" si="110"/>
        <v/>
      </c>
      <c r="J471" s="12" t="str">
        <f t="shared" si="111"/>
        <v/>
      </c>
      <c r="K471" s="12" t="str">
        <f t="shared" si="112"/>
        <v/>
      </c>
      <c r="L471" s="12" t="str">
        <f t="shared" si="113"/>
        <v/>
      </c>
      <c r="M471" s="12" t="str">
        <f t="shared" si="114"/>
        <v/>
      </c>
      <c r="N471" s="12" t="str">
        <f t="shared" si="115"/>
        <v/>
      </c>
      <c r="O471" s="12" t="str">
        <f t="shared" si="116"/>
        <v/>
      </c>
      <c r="P471" s="12" t="str">
        <f t="shared" si="117"/>
        <v/>
      </c>
      <c r="Q471" s="12" t="e">
        <f t="shared" si="106"/>
        <v>#VALUE!</v>
      </c>
      <c r="R471" s="39" t="str">
        <f t="shared" si="119"/>
        <v/>
      </c>
      <c r="V471" s="12" t="str">
        <f t="shared" si="108"/>
        <v/>
      </c>
      <c r="W471" s="22" t="str">
        <f t="shared" si="107"/>
        <v/>
      </c>
    </row>
    <row r="472" spans="7:23" x14ac:dyDescent="0.25">
      <c r="G472" s="12" t="str">
        <f t="shared" si="118"/>
        <v/>
      </c>
      <c r="H472" s="12" t="str">
        <f t="shared" si="109"/>
        <v/>
      </c>
      <c r="I472" s="12" t="str">
        <f t="shared" si="110"/>
        <v/>
      </c>
      <c r="J472" s="12" t="str">
        <f t="shared" si="111"/>
        <v/>
      </c>
      <c r="K472" s="12" t="str">
        <f t="shared" si="112"/>
        <v/>
      </c>
      <c r="L472" s="12" t="str">
        <f t="shared" si="113"/>
        <v/>
      </c>
      <c r="M472" s="12" t="str">
        <f t="shared" si="114"/>
        <v/>
      </c>
      <c r="N472" s="12" t="str">
        <f t="shared" si="115"/>
        <v/>
      </c>
      <c r="O472" s="12" t="str">
        <f t="shared" si="116"/>
        <v/>
      </c>
      <c r="P472" s="12" t="str">
        <f t="shared" si="117"/>
        <v/>
      </c>
      <c r="Q472" s="12" t="e">
        <f t="shared" si="106"/>
        <v>#VALUE!</v>
      </c>
      <c r="R472" s="39" t="str">
        <f t="shared" si="119"/>
        <v/>
      </c>
      <c r="V472" s="12" t="str">
        <f t="shared" si="108"/>
        <v/>
      </c>
      <c r="W472" s="22" t="str">
        <f t="shared" si="107"/>
        <v/>
      </c>
    </row>
    <row r="473" spans="7:23" x14ac:dyDescent="0.25">
      <c r="G473" s="12" t="str">
        <f t="shared" si="118"/>
        <v/>
      </c>
      <c r="H473" s="12" t="str">
        <f t="shared" si="109"/>
        <v/>
      </c>
      <c r="I473" s="12" t="str">
        <f t="shared" si="110"/>
        <v/>
      </c>
      <c r="J473" s="12" t="str">
        <f t="shared" si="111"/>
        <v/>
      </c>
      <c r="K473" s="12" t="str">
        <f t="shared" si="112"/>
        <v/>
      </c>
      <c r="L473" s="12" t="str">
        <f t="shared" si="113"/>
        <v/>
      </c>
      <c r="M473" s="12" t="str">
        <f t="shared" si="114"/>
        <v/>
      </c>
      <c r="N473" s="12" t="str">
        <f t="shared" si="115"/>
        <v/>
      </c>
      <c r="O473" s="12" t="str">
        <f t="shared" si="116"/>
        <v/>
      </c>
      <c r="P473" s="12" t="str">
        <f t="shared" si="117"/>
        <v/>
      </c>
      <c r="Q473" s="12" t="e">
        <f t="shared" si="106"/>
        <v>#VALUE!</v>
      </c>
      <c r="R473" s="39" t="str">
        <f t="shared" si="119"/>
        <v/>
      </c>
      <c r="V473" s="12" t="str">
        <f t="shared" si="108"/>
        <v/>
      </c>
      <c r="W473" s="22" t="str">
        <f t="shared" si="107"/>
        <v/>
      </c>
    </row>
    <row r="474" spans="7:23" x14ac:dyDescent="0.25">
      <c r="G474" s="12" t="str">
        <f t="shared" si="118"/>
        <v/>
      </c>
      <c r="H474" s="12" t="str">
        <f t="shared" si="109"/>
        <v/>
      </c>
      <c r="I474" s="12" t="str">
        <f t="shared" si="110"/>
        <v/>
      </c>
      <c r="J474" s="12" t="str">
        <f t="shared" si="111"/>
        <v/>
      </c>
      <c r="K474" s="12" t="str">
        <f t="shared" si="112"/>
        <v/>
      </c>
      <c r="L474" s="12" t="str">
        <f t="shared" si="113"/>
        <v/>
      </c>
      <c r="M474" s="12" t="str">
        <f t="shared" si="114"/>
        <v/>
      </c>
      <c r="N474" s="12" t="str">
        <f t="shared" si="115"/>
        <v/>
      </c>
      <c r="O474" s="12" t="str">
        <f t="shared" si="116"/>
        <v/>
      </c>
      <c r="P474" s="12" t="str">
        <f t="shared" si="117"/>
        <v/>
      </c>
      <c r="Q474" s="12" t="e">
        <f t="shared" si="106"/>
        <v>#VALUE!</v>
      </c>
      <c r="R474" s="39" t="str">
        <f t="shared" si="119"/>
        <v/>
      </c>
      <c r="V474" s="12" t="str">
        <f t="shared" si="108"/>
        <v/>
      </c>
      <c r="W474" s="22" t="str">
        <f t="shared" si="107"/>
        <v/>
      </c>
    </row>
    <row r="475" spans="7:23" x14ac:dyDescent="0.25">
      <c r="G475" s="12" t="str">
        <f t="shared" si="118"/>
        <v/>
      </c>
      <c r="H475" s="12" t="str">
        <f t="shared" si="109"/>
        <v/>
      </c>
      <c r="I475" s="12" t="str">
        <f t="shared" si="110"/>
        <v/>
      </c>
      <c r="J475" s="12" t="str">
        <f t="shared" si="111"/>
        <v/>
      </c>
      <c r="K475" s="12" t="str">
        <f t="shared" si="112"/>
        <v/>
      </c>
      <c r="L475" s="12" t="str">
        <f t="shared" si="113"/>
        <v/>
      </c>
      <c r="M475" s="12" t="str">
        <f t="shared" si="114"/>
        <v/>
      </c>
      <c r="N475" s="12" t="str">
        <f t="shared" si="115"/>
        <v/>
      </c>
      <c r="O475" s="12" t="str">
        <f t="shared" si="116"/>
        <v/>
      </c>
      <c r="P475" s="12" t="str">
        <f t="shared" si="117"/>
        <v/>
      </c>
      <c r="Q475" s="12" t="e">
        <f t="shared" si="106"/>
        <v>#VALUE!</v>
      </c>
      <c r="R475" s="39" t="str">
        <f t="shared" si="119"/>
        <v/>
      </c>
      <c r="V475" s="12" t="str">
        <f t="shared" si="108"/>
        <v/>
      </c>
      <c r="W475" s="22" t="str">
        <f t="shared" si="107"/>
        <v/>
      </c>
    </row>
    <row r="476" spans="7:23" x14ac:dyDescent="0.25">
      <c r="G476" s="12" t="str">
        <f t="shared" si="118"/>
        <v/>
      </c>
      <c r="H476" s="12" t="str">
        <f t="shared" si="109"/>
        <v/>
      </c>
      <c r="I476" s="12" t="str">
        <f t="shared" si="110"/>
        <v/>
      </c>
      <c r="J476" s="12" t="str">
        <f t="shared" si="111"/>
        <v/>
      </c>
      <c r="K476" s="12" t="str">
        <f t="shared" si="112"/>
        <v/>
      </c>
      <c r="L476" s="12" t="str">
        <f t="shared" si="113"/>
        <v/>
      </c>
      <c r="M476" s="12" t="str">
        <f t="shared" si="114"/>
        <v/>
      </c>
      <c r="N476" s="12" t="str">
        <f t="shared" si="115"/>
        <v/>
      </c>
      <c r="O476" s="12" t="str">
        <f t="shared" si="116"/>
        <v/>
      </c>
      <c r="P476" s="12" t="str">
        <f t="shared" si="117"/>
        <v/>
      </c>
      <c r="Q476" s="12" t="e">
        <f t="shared" si="106"/>
        <v>#VALUE!</v>
      </c>
      <c r="R476" s="39" t="str">
        <f t="shared" si="119"/>
        <v/>
      </c>
      <c r="V476" s="12" t="str">
        <f t="shared" si="108"/>
        <v/>
      </c>
      <c r="W476" s="22" t="str">
        <f t="shared" si="107"/>
        <v/>
      </c>
    </row>
    <row r="477" spans="7:23" x14ac:dyDescent="0.25">
      <c r="G477" s="12" t="str">
        <f t="shared" si="118"/>
        <v/>
      </c>
      <c r="H477" s="12" t="str">
        <f t="shared" si="109"/>
        <v/>
      </c>
      <c r="I477" s="12" t="str">
        <f t="shared" si="110"/>
        <v/>
      </c>
      <c r="J477" s="12" t="str">
        <f t="shared" si="111"/>
        <v/>
      </c>
      <c r="K477" s="12" t="str">
        <f t="shared" si="112"/>
        <v/>
      </c>
      <c r="L477" s="12" t="str">
        <f t="shared" si="113"/>
        <v/>
      </c>
      <c r="M477" s="12" t="str">
        <f t="shared" si="114"/>
        <v/>
      </c>
      <c r="N477" s="12" t="str">
        <f t="shared" si="115"/>
        <v/>
      </c>
      <c r="O477" s="12" t="str">
        <f t="shared" si="116"/>
        <v/>
      </c>
      <c r="P477" s="12" t="str">
        <f t="shared" si="117"/>
        <v/>
      </c>
      <c r="Q477" s="12" t="e">
        <f t="shared" si="106"/>
        <v>#VALUE!</v>
      </c>
      <c r="R477" s="39" t="str">
        <f t="shared" si="119"/>
        <v/>
      </c>
      <c r="V477" s="12" t="str">
        <f t="shared" si="108"/>
        <v/>
      </c>
      <c r="W477" s="22" t="str">
        <f t="shared" si="107"/>
        <v/>
      </c>
    </row>
    <row r="478" spans="7:23" x14ac:dyDescent="0.25">
      <c r="G478" s="12" t="str">
        <f t="shared" si="118"/>
        <v/>
      </c>
      <c r="H478" s="12" t="str">
        <f t="shared" si="109"/>
        <v/>
      </c>
      <c r="I478" s="12" t="str">
        <f t="shared" si="110"/>
        <v/>
      </c>
      <c r="J478" s="12" t="str">
        <f t="shared" si="111"/>
        <v/>
      </c>
      <c r="K478" s="12" t="str">
        <f t="shared" si="112"/>
        <v/>
      </c>
      <c r="L478" s="12" t="str">
        <f t="shared" si="113"/>
        <v/>
      </c>
      <c r="M478" s="12" t="str">
        <f t="shared" si="114"/>
        <v/>
      </c>
      <c r="N478" s="12" t="str">
        <f t="shared" si="115"/>
        <v/>
      </c>
      <c r="O478" s="12" t="str">
        <f t="shared" si="116"/>
        <v/>
      </c>
      <c r="P478" s="12" t="str">
        <f t="shared" si="117"/>
        <v/>
      </c>
      <c r="Q478" s="12" t="e">
        <f t="shared" si="106"/>
        <v>#VALUE!</v>
      </c>
      <c r="R478" s="39" t="str">
        <f t="shared" si="119"/>
        <v/>
      </c>
      <c r="V478" s="12" t="str">
        <f t="shared" si="108"/>
        <v/>
      </c>
      <c r="W478" s="22" t="str">
        <f t="shared" si="107"/>
        <v/>
      </c>
    </row>
    <row r="479" spans="7:23" x14ac:dyDescent="0.25">
      <c r="G479" s="12" t="str">
        <f t="shared" si="118"/>
        <v/>
      </c>
      <c r="H479" s="12" t="str">
        <f t="shared" si="109"/>
        <v/>
      </c>
      <c r="I479" s="12" t="str">
        <f t="shared" si="110"/>
        <v/>
      </c>
      <c r="J479" s="12" t="str">
        <f t="shared" si="111"/>
        <v/>
      </c>
      <c r="K479" s="12" t="str">
        <f t="shared" si="112"/>
        <v/>
      </c>
      <c r="L479" s="12" t="str">
        <f t="shared" si="113"/>
        <v/>
      </c>
      <c r="M479" s="12" t="str">
        <f t="shared" si="114"/>
        <v/>
      </c>
      <c r="N479" s="12" t="str">
        <f t="shared" si="115"/>
        <v/>
      </c>
      <c r="O479" s="12" t="str">
        <f t="shared" si="116"/>
        <v/>
      </c>
      <c r="P479" s="12" t="str">
        <f t="shared" si="117"/>
        <v/>
      </c>
      <c r="Q479" s="12" t="e">
        <f t="shared" si="106"/>
        <v>#VALUE!</v>
      </c>
      <c r="R479" s="39" t="str">
        <f t="shared" si="119"/>
        <v/>
      </c>
      <c r="V479" s="12" t="str">
        <f t="shared" si="108"/>
        <v/>
      </c>
      <c r="W479" s="22" t="str">
        <f t="shared" si="107"/>
        <v/>
      </c>
    </row>
    <row r="480" spans="7:23" x14ac:dyDescent="0.25">
      <c r="G480" s="12" t="str">
        <f t="shared" si="118"/>
        <v/>
      </c>
      <c r="H480" s="12" t="str">
        <f t="shared" si="109"/>
        <v/>
      </c>
      <c r="I480" s="12" t="str">
        <f t="shared" si="110"/>
        <v/>
      </c>
      <c r="J480" s="12" t="str">
        <f t="shared" si="111"/>
        <v/>
      </c>
      <c r="K480" s="12" t="str">
        <f t="shared" si="112"/>
        <v/>
      </c>
      <c r="L480" s="12" t="str">
        <f t="shared" si="113"/>
        <v/>
      </c>
      <c r="M480" s="12" t="str">
        <f t="shared" si="114"/>
        <v/>
      </c>
      <c r="N480" s="12" t="str">
        <f t="shared" si="115"/>
        <v/>
      </c>
      <c r="O480" s="12" t="str">
        <f t="shared" si="116"/>
        <v/>
      </c>
      <c r="P480" s="12" t="str">
        <f t="shared" si="117"/>
        <v/>
      </c>
      <c r="Q480" s="12" t="e">
        <f t="shared" si="106"/>
        <v>#VALUE!</v>
      </c>
      <c r="R480" s="39" t="str">
        <f t="shared" si="119"/>
        <v/>
      </c>
      <c r="V480" s="12" t="str">
        <f t="shared" si="108"/>
        <v/>
      </c>
      <c r="W480" s="22" t="str">
        <f t="shared" si="107"/>
        <v/>
      </c>
    </row>
    <row r="481" spans="7:23" x14ac:dyDescent="0.25">
      <c r="G481" s="12" t="str">
        <f t="shared" si="118"/>
        <v/>
      </c>
      <c r="H481" s="12" t="str">
        <f t="shared" si="109"/>
        <v/>
      </c>
      <c r="I481" s="12" t="str">
        <f t="shared" si="110"/>
        <v/>
      </c>
      <c r="J481" s="12" t="str">
        <f t="shared" si="111"/>
        <v/>
      </c>
      <c r="K481" s="12" t="str">
        <f t="shared" si="112"/>
        <v/>
      </c>
      <c r="L481" s="12" t="str">
        <f t="shared" si="113"/>
        <v/>
      </c>
      <c r="M481" s="12" t="str">
        <f t="shared" si="114"/>
        <v/>
      </c>
      <c r="N481" s="12" t="str">
        <f t="shared" si="115"/>
        <v/>
      </c>
      <c r="O481" s="12" t="str">
        <f t="shared" si="116"/>
        <v/>
      </c>
      <c r="P481" s="12" t="str">
        <f t="shared" si="117"/>
        <v/>
      </c>
      <c r="Q481" s="12" t="e">
        <f t="shared" ref="Q481:Q544" si="120">G481-G480</f>
        <v>#VALUE!</v>
      </c>
      <c r="R481" s="39" t="str">
        <f t="shared" si="119"/>
        <v/>
      </c>
      <c r="V481" s="12" t="str">
        <f t="shared" si="108"/>
        <v/>
      </c>
      <c r="W481" s="22" t="str">
        <f t="shared" si="107"/>
        <v/>
      </c>
    </row>
    <row r="482" spans="7:23" x14ac:dyDescent="0.25">
      <c r="G482" s="12" t="str">
        <f t="shared" si="118"/>
        <v/>
      </c>
      <c r="H482" s="12" t="str">
        <f t="shared" si="109"/>
        <v/>
      </c>
      <c r="I482" s="12" t="str">
        <f t="shared" si="110"/>
        <v/>
      </c>
      <c r="J482" s="12" t="str">
        <f t="shared" si="111"/>
        <v/>
      </c>
      <c r="K482" s="12" t="str">
        <f t="shared" si="112"/>
        <v/>
      </c>
      <c r="L482" s="12" t="str">
        <f t="shared" si="113"/>
        <v/>
      </c>
      <c r="M482" s="12" t="str">
        <f t="shared" si="114"/>
        <v/>
      </c>
      <c r="N482" s="12" t="str">
        <f t="shared" si="115"/>
        <v/>
      </c>
      <c r="O482" s="12" t="str">
        <f t="shared" si="116"/>
        <v/>
      </c>
      <c r="P482" s="12" t="str">
        <f t="shared" si="117"/>
        <v/>
      </c>
      <c r="Q482" s="12" t="e">
        <f t="shared" si="120"/>
        <v>#VALUE!</v>
      </c>
      <c r="R482" s="39" t="str">
        <f t="shared" si="119"/>
        <v/>
      </c>
      <c r="V482" s="12" t="str">
        <f t="shared" si="108"/>
        <v/>
      </c>
      <c r="W482" s="22" t="str">
        <f t="shared" si="107"/>
        <v/>
      </c>
    </row>
    <row r="483" spans="7:23" x14ac:dyDescent="0.25">
      <c r="G483" s="12" t="str">
        <f t="shared" si="118"/>
        <v/>
      </c>
      <c r="H483" s="12" t="str">
        <f t="shared" si="109"/>
        <v/>
      </c>
      <c r="I483" s="12" t="str">
        <f t="shared" si="110"/>
        <v/>
      </c>
      <c r="J483" s="12" t="str">
        <f t="shared" si="111"/>
        <v/>
      </c>
      <c r="K483" s="12" t="str">
        <f t="shared" si="112"/>
        <v/>
      </c>
      <c r="L483" s="12" t="str">
        <f t="shared" si="113"/>
        <v/>
      </c>
      <c r="M483" s="12" t="str">
        <f t="shared" si="114"/>
        <v/>
      </c>
      <c r="N483" s="12" t="str">
        <f t="shared" si="115"/>
        <v/>
      </c>
      <c r="O483" s="12" t="str">
        <f t="shared" si="116"/>
        <v/>
      </c>
      <c r="P483" s="12" t="str">
        <f t="shared" si="117"/>
        <v/>
      </c>
      <c r="Q483" s="12" t="e">
        <f t="shared" si="120"/>
        <v>#VALUE!</v>
      </c>
      <c r="R483" s="39" t="str">
        <f t="shared" si="119"/>
        <v/>
      </c>
      <c r="V483" s="12" t="str">
        <f t="shared" si="108"/>
        <v/>
      </c>
      <c r="W483" s="22" t="str">
        <f t="shared" si="107"/>
        <v/>
      </c>
    </row>
    <row r="484" spans="7:23" x14ac:dyDescent="0.25">
      <c r="G484" s="12" t="str">
        <f t="shared" si="118"/>
        <v/>
      </c>
      <c r="H484" s="12" t="str">
        <f t="shared" si="109"/>
        <v/>
      </c>
      <c r="I484" s="12" t="str">
        <f t="shared" si="110"/>
        <v/>
      </c>
      <c r="J484" s="12" t="str">
        <f t="shared" si="111"/>
        <v/>
      </c>
      <c r="K484" s="12" t="str">
        <f t="shared" si="112"/>
        <v/>
      </c>
      <c r="L484" s="12" t="str">
        <f t="shared" si="113"/>
        <v/>
      </c>
      <c r="M484" s="12" t="str">
        <f t="shared" si="114"/>
        <v/>
      </c>
      <c r="N484" s="12" t="str">
        <f t="shared" si="115"/>
        <v/>
      </c>
      <c r="O484" s="12" t="str">
        <f t="shared" si="116"/>
        <v/>
      </c>
      <c r="P484" s="12" t="str">
        <f t="shared" si="117"/>
        <v/>
      </c>
      <c r="Q484" s="12" t="e">
        <f t="shared" si="120"/>
        <v>#VALUE!</v>
      </c>
      <c r="R484" s="39" t="str">
        <f t="shared" si="119"/>
        <v/>
      </c>
      <c r="V484" s="12" t="str">
        <f t="shared" si="108"/>
        <v/>
      </c>
      <c r="W484" s="22" t="str">
        <f t="shared" si="107"/>
        <v/>
      </c>
    </row>
    <row r="485" spans="7:23" x14ac:dyDescent="0.25">
      <c r="G485" s="12" t="str">
        <f t="shared" si="118"/>
        <v/>
      </c>
      <c r="H485" s="12" t="str">
        <f t="shared" si="109"/>
        <v/>
      </c>
      <c r="I485" s="12" t="str">
        <f t="shared" si="110"/>
        <v/>
      </c>
      <c r="J485" s="12" t="str">
        <f t="shared" si="111"/>
        <v/>
      </c>
      <c r="K485" s="12" t="str">
        <f t="shared" si="112"/>
        <v/>
      </c>
      <c r="L485" s="12" t="str">
        <f t="shared" si="113"/>
        <v/>
      </c>
      <c r="M485" s="12" t="str">
        <f t="shared" si="114"/>
        <v/>
      </c>
      <c r="N485" s="12" t="str">
        <f t="shared" si="115"/>
        <v/>
      </c>
      <c r="O485" s="12" t="str">
        <f t="shared" si="116"/>
        <v/>
      </c>
      <c r="P485" s="12" t="str">
        <f t="shared" si="117"/>
        <v/>
      </c>
      <c r="Q485" s="12" t="e">
        <f t="shared" si="120"/>
        <v>#VALUE!</v>
      </c>
      <c r="R485" s="39" t="str">
        <f t="shared" si="119"/>
        <v/>
      </c>
      <c r="V485" s="12" t="str">
        <f t="shared" si="108"/>
        <v/>
      </c>
      <c r="W485" s="22" t="str">
        <f t="shared" si="107"/>
        <v/>
      </c>
    </row>
    <row r="486" spans="7:23" x14ac:dyDescent="0.25">
      <c r="G486" s="12" t="str">
        <f t="shared" si="118"/>
        <v/>
      </c>
      <c r="H486" s="12" t="str">
        <f t="shared" si="109"/>
        <v/>
      </c>
      <c r="I486" s="12" t="str">
        <f t="shared" si="110"/>
        <v/>
      </c>
      <c r="J486" s="12" t="str">
        <f t="shared" si="111"/>
        <v/>
      </c>
      <c r="K486" s="12" t="str">
        <f t="shared" si="112"/>
        <v/>
      </c>
      <c r="L486" s="12" t="str">
        <f t="shared" si="113"/>
        <v/>
      </c>
      <c r="M486" s="12" t="str">
        <f t="shared" si="114"/>
        <v/>
      </c>
      <c r="N486" s="12" t="str">
        <f t="shared" si="115"/>
        <v/>
      </c>
      <c r="O486" s="12" t="str">
        <f t="shared" si="116"/>
        <v/>
      </c>
      <c r="P486" s="12" t="str">
        <f t="shared" si="117"/>
        <v/>
      </c>
      <c r="Q486" s="12" t="e">
        <f t="shared" si="120"/>
        <v>#VALUE!</v>
      </c>
      <c r="R486" s="39" t="str">
        <f t="shared" si="119"/>
        <v/>
      </c>
      <c r="V486" s="12" t="str">
        <f t="shared" si="108"/>
        <v/>
      </c>
      <c r="W486" s="22" t="str">
        <f t="shared" si="107"/>
        <v/>
      </c>
    </row>
    <row r="487" spans="7:23" x14ac:dyDescent="0.25">
      <c r="G487" s="12" t="str">
        <f t="shared" si="118"/>
        <v/>
      </c>
      <c r="H487" s="12" t="str">
        <f t="shared" si="109"/>
        <v/>
      </c>
      <c r="I487" s="12" t="str">
        <f t="shared" si="110"/>
        <v/>
      </c>
      <c r="J487" s="12" t="str">
        <f t="shared" si="111"/>
        <v/>
      </c>
      <c r="K487" s="12" t="str">
        <f t="shared" si="112"/>
        <v/>
      </c>
      <c r="L487" s="12" t="str">
        <f t="shared" si="113"/>
        <v/>
      </c>
      <c r="M487" s="12" t="str">
        <f t="shared" si="114"/>
        <v/>
      </c>
      <c r="N487" s="12" t="str">
        <f t="shared" si="115"/>
        <v/>
      </c>
      <c r="O487" s="12" t="str">
        <f t="shared" si="116"/>
        <v/>
      </c>
      <c r="P487" s="12" t="str">
        <f t="shared" si="117"/>
        <v/>
      </c>
      <c r="Q487" s="12" t="e">
        <f t="shared" si="120"/>
        <v>#VALUE!</v>
      </c>
      <c r="R487" s="39" t="str">
        <f t="shared" si="119"/>
        <v/>
      </c>
      <c r="V487" s="12" t="str">
        <f t="shared" si="108"/>
        <v/>
      </c>
      <c r="W487" s="22" t="str">
        <f t="shared" si="107"/>
        <v/>
      </c>
    </row>
    <row r="488" spans="7:23" x14ac:dyDescent="0.25">
      <c r="G488" s="12" t="str">
        <f t="shared" si="118"/>
        <v/>
      </c>
      <c r="H488" s="12" t="str">
        <f t="shared" si="109"/>
        <v/>
      </c>
      <c r="I488" s="12" t="str">
        <f t="shared" si="110"/>
        <v/>
      </c>
      <c r="J488" s="12" t="str">
        <f t="shared" si="111"/>
        <v/>
      </c>
      <c r="K488" s="12" t="str">
        <f t="shared" si="112"/>
        <v/>
      </c>
      <c r="L488" s="12" t="str">
        <f t="shared" si="113"/>
        <v/>
      </c>
      <c r="M488" s="12" t="str">
        <f t="shared" si="114"/>
        <v/>
      </c>
      <c r="N488" s="12" t="str">
        <f t="shared" si="115"/>
        <v/>
      </c>
      <c r="O488" s="12" t="str">
        <f t="shared" si="116"/>
        <v/>
      </c>
      <c r="P488" s="12" t="str">
        <f t="shared" si="117"/>
        <v/>
      </c>
      <c r="Q488" s="12" t="e">
        <f t="shared" si="120"/>
        <v>#VALUE!</v>
      </c>
      <c r="R488" s="39" t="str">
        <f t="shared" si="119"/>
        <v/>
      </c>
      <c r="V488" s="12" t="str">
        <f t="shared" si="108"/>
        <v/>
      </c>
      <c r="W488" s="22" t="str">
        <f t="shared" si="107"/>
        <v/>
      </c>
    </row>
    <row r="489" spans="7:23" x14ac:dyDescent="0.25">
      <c r="G489" s="12" t="str">
        <f t="shared" si="118"/>
        <v/>
      </c>
      <c r="H489" s="12" t="str">
        <f t="shared" si="109"/>
        <v/>
      </c>
      <c r="I489" s="12" t="str">
        <f t="shared" si="110"/>
        <v/>
      </c>
      <c r="J489" s="12" t="str">
        <f t="shared" si="111"/>
        <v/>
      </c>
      <c r="K489" s="12" t="str">
        <f t="shared" si="112"/>
        <v/>
      </c>
      <c r="L489" s="12" t="str">
        <f t="shared" si="113"/>
        <v/>
      </c>
      <c r="M489" s="12" t="str">
        <f t="shared" si="114"/>
        <v/>
      </c>
      <c r="N489" s="12" t="str">
        <f t="shared" si="115"/>
        <v/>
      </c>
      <c r="O489" s="12" t="str">
        <f t="shared" si="116"/>
        <v/>
      </c>
      <c r="P489" s="12" t="str">
        <f t="shared" si="117"/>
        <v/>
      </c>
      <c r="Q489" s="12" t="e">
        <f t="shared" si="120"/>
        <v>#VALUE!</v>
      </c>
      <c r="R489" s="39" t="str">
        <f t="shared" si="119"/>
        <v/>
      </c>
      <c r="V489" s="12" t="str">
        <f t="shared" si="108"/>
        <v/>
      </c>
      <c r="W489" s="22" t="str">
        <f t="shared" si="107"/>
        <v/>
      </c>
    </row>
    <row r="490" spans="7:23" x14ac:dyDescent="0.25">
      <c r="G490" s="12" t="str">
        <f t="shared" si="118"/>
        <v/>
      </c>
      <c r="H490" s="12" t="str">
        <f t="shared" si="109"/>
        <v/>
      </c>
      <c r="I490" s="12" t="str">
        <f t="shared" si="110"/>
        <v/>
      </c>
      <c r="J490" s="12" t="str">
        <f t="shared" si="111"/>
        <v/>
      </c>
      <c r="K490" s="12" t="str">
        <f t="shared" si="112"/>
        <v/>
      </c>
      <c r="L490" s="12" t="str">
        <f t="shared" si="113"/>
        <v/>
      </c>
      <c r="M490" s="12" t="str">
        <f t="shared" si="114"/>
        <v/>
      </c>
      <c r="N490" s="12" t="str">
        <f t="shared" si="115"/>
        <v/>
      </c>
      <c r="O490" s="12" t="str">
        <f t="shared" si="116"/>
        <v/>
      </c>
      <c r="P490" s="12" t="str">
        <f t="shared" si="117"/>
        <v/>
      </c>
      <c r="Q490" s="12" t="e">
        <f t="shared" si="120"/>
        <v>#VALUE!</v>
      </c>
      <c r="R490" s="39" t="str">
        <f t="shared" si="119"/>
        <v/>
      </c>
      <c r="V490" s="12" t="str">
        <f t="shared" si="108"/>
        <v/>
      </c>
      <c r="W490" s="22" t="str">
        <f t="shared" si="107"/>
        <v/>
      </c>
    </row>
    <row r="491" spans="7:23" x14ac:dyDescent="0.25">
      <c r="G491" s="12" t="str">
        <f t="shared" si="118"/>
        <v/>
      </c>
      <c r="H491" s="12" t="str">
        <f t="shared" si="109"/>
        <v/>
      </c>
      <c r="I491" s="12" t="str">
        <f t="shared" si="110"/>
        <v/>
      </c>
      <c r="J491" s="12" t="str">
        <f t="shared" si="111"/>
        <v/>
      </c>
      <c r="K491" s="12" t="str">
        <f t="shared" si="112"/>
        <v/>
      </c>
      <c r="L491" s="12" t="str">
        <f t="shared" si="113"/>
        <v/>
      </c>
      <c r="M491" s="12" t="str">
        <f t="shared" si="114"/>
        <v/>
      </c>
      <c r="N491" s="12" t="str">
        <f t="shared" si="115"/>
        <v/>
      </c>
      <c r="O491" s="12" t="str">
        <f t="shared" si="116"/>
        <v/>
      </c>
      <c r="P491" s="12" t="str">
        <f t="shared" si="117"/>
        <v/>
      </c>
      <c r="Q491" s="12" t="e">
        <f t="shared" si="120"/>
        <v>#VALUE!</v>
      </c>
      <c r="R491" s="39" t="str">
        <f t="shared" si="119"/>
        <v/>
      </c>
      <c r="V491" s="12" t="str">
        <f t="shared" si="108"/>
        <v/>
      </c>
      <c r="W491" s="22" t="str">
        <f t="shared" si="107"/>
        <v/>
      </c>
    </row>
    <row r="492" spans="7:23" x14ac:dyDescent="0.25">
      <c r="G492" s="12" t="str">
        <f t="shared" si="118"/>
        <v/>
      </c>
      <c r="H492" s="12" t="str">
        <f t="shared" si="109"/>
        <v/>
      </c>
      <c r="I492" s="12" t="str">
        <f t="shared" si="110"/>
        <v/>
      </c>
      <c r="J492" s="12" t="str">
        <f t="shared" si="111"/>
        <v/>
      </c>
      <c r="K492" s="12" t="str">
        <f t="shared" si="112"/>
        <v/>
      </c>
      <c r="L492" s="12" t="str">
        <f t="shared" si="113"/>
        <v/>
      </c>
      <c r="M492" s="12" t="str">
        <f t="shared" si="114"/>
        <v/>
      </c>
      <c r="N492" s="12" t="str">
        <f t="shared" si="115"/>
        <v/>
      </c>
      <c r="O492" s="12" t="str">
        <f t="shared" si="116"/>
        <v/>
      </c>
      <c r="P492" s="12" t="str">
        <f t="shared" si="117"/>
        <v/>
      </c>
      <c r="Q492" s="12" t="e">
        <f t="shared" si="120"/>
        <v>#VALUE!</v>
      </c>
      <c r="R492" s="39" t="str">
        <f t="shared" si="119"/>
        <v/>
      </c>
      <c r="V492" s="12" t="str">
        <f t="shared" si="108"/>
        <v/>
      </c>
      <c r="W492" s="22" t="str">
        <f t="shared" si="107"/>
        <v/>
      </c>
    </row>
    <row r="493" spans="7:23" x14ac:dyDescent="0.25">
      <c r="G493" s="12" t="str">
        <f t="shared" si="118"/>
        <v/>
      </c>
      <c r="H493" s="12" t="str">
        <f t="shared" si="109"/>
        <v/>
      </c>
      <c r="I493" s="12" t="str">
        <f t="shared" si="110"/>
        <v/>
      </c>
      <c r="J493" s="12" t="str">
        <f t="shared" si="111"/>
        <v/>
      </c>
      <c r="K493" s="12" t="str">
        <f t="shared" si="112"/>
        <v/>
      </c>
      <c r="L493" s="12" t="str">
        <f t="shared" si="113"/>
        <v/>
      </c>
      <c r="M493" s="12" t="str">
        <f t="shared" si="114"/>
        <v/>
      </c>
      <c r="N493" s="12" t="str">
        <f t="shared" si="115"/>
        <v/>
      </c>
      <c r="O493" s="12" t="str">
        <f t="shared" si="116"/>
        <v/>
      </c>
      <c r="P493" s="12" t="str">
        <f t="shared" si="117"/>
        <v/>
      </c>
      <c r="Q493" s="12" t="e">
        <f t="shared" si="120"/>
        <v>#VALUE!</v>
      </c>
      <c r="R493" s="39" t="str">
        <f t="shared" si="119"/>
        <v/>
      </c>
      <c r="V493" s="12" t="str">
        <f t="shared" si="108"/>
        <v/>
      </c>
      <c r="W493" s="22" t="str">
        <f t="shared" si="107"/>
        <v/>
      </c>
    </row>
    <row r="494" spans="7:23" x14ac:dyDescent="0.25">
      <c r="G494" s="12" t="str">
        <f t="shared" si="118"/>
        <v/>
      </c>
      <c r="H494" s="12" t="str">
        <f t="shared" si="109"/>
        <v/>
      </c>
      <c r="I494" s="12" t="str">
        <f t="shared" si="110"/>
        <v/>
      </c>
      <c r="J494" s="12" t="str">
        <f t="shared" si="111"/>
        <v/>
      </c>
      <c r="K494" s="12" t="str">
        <f t="shared" si="112"/>
        <v/>
      </c>
      <c r="L494" s="12" t="str">
        <f t="shared" si="113"/>
        <v/>
      </c>
      <c r="M494" s="12" t="str">
        <f t="shared" si="114"/>
        <v/>
      </c>
      <c r="N494" s="12" t="str">
        <f t="shared" si="115"/>
        <v/>
      </c>
      <c r="O494" s="12" t="str">
        <f t="shared" si="116"/>
        <v/>
      </c>
      <c r="P494" s="12" t="str">
        <f t="shared" si="117"/>
        <v/>
      </c>
      <c r="Q494" s="12" t="e">
        <f t="shared" si="120"/>
        <v>#VALUE!</v>
      </c>
      <c r="R494" s="39" t="str">
        <f t="shared" si="119"/>
        <v/>
      </c>
      <c r="V494" s="12" t="str">
        <f t="shared" si="108"/>
        <v/>
      </c>
      <c r="W494" s="22" t="str">
        <f t="shared" si="107"/>
        <v/>
      </c>
    </row>
    <row r="495" spans="7:23" x14ac:dyDescent="0.25">
      <c r="G495" s="12" t="str">
        <f t="shared" si="118"/>
        <v/>
      </c>
      <c r="H495" s="12" t="str">
        <f t="shared" si="109"/>
        <v/>
      </c>
      <c r="I495" s="12" t="str">
        <f t="shared" si="110"/>
        <v/>
      </c>
      <c r="J495" s="12" t="str">
        <f t="shared" si="111"/>
        <v/>
      </c>
      <c r="K495" s="12" t="str">
        <f t="shared" si="112"/>
        <v/>
      </c>
      <c r="L495" s="12" t="str">
        <f t="shared" si="113"/>
        <v/>
      </c>
      <c r="M495" s="12" t="str">
        <f t="shared" si="114"/>
        <v/>
      </c>
      <c r="N495" s="12" t="str">
        <f t="shared" si="115"/>
        <v/>
      </c>
      <c r="O495" s="12" t="str">
        <f t="shared" si="116"/>
        <v/>
      </c>
      <c r="P495" s="12" t="str">
        <f t="shared" si="117"/>
        <v/>
      </c>
      <c r="Q495" s="12" t="e">
        <f t="shared" si="120"/>
        <v>#VALUE!</v>
      </c>
      <c r="R495" s="39" t="str">
        <f t="shared" si="119"/>
        <v/>
      </c>
      <c r="V495" s="12" t="str">
        <f t="shared" si="108"/>
        <v/>
      </c>
      <c r="W495" s="22" t="str">
        <f t="shared" si="107"/>
        <v/>
      </c>
    </row>
    <row r="496" spans="7:23" x14ac:dyDescent="0.25">
      <c r="G496" s="12" t="str">
        <f t="shared" si="118"/>
        <v/>
      </c>
      <c r="H496" s="12" t="str">
        <f t="shared" si="109"/>
        <v/>
      </c>
      <c r="I496" s="12" t="str">
        <f t="shared" si="110"/>
        <v/>
      </c>
      <c r="J496" s="12" t="str">
        <f t="shared" si="111"/>
        <v/>
      </c>
      <c r="K496" s="12" t="str">
        <f t="shared" si="112"/>
        <v/>
      </c>
      <c r="L496" s="12" t="str">
        <f t="shared" si="113"/>
        <v/>
      </c>
      <c r="M496" s="12" t="str">
        <f t="shared" si="114"/>
        <v/>
      </c>
      <c r="N496" s="12" t="str">
        <f t="shared" si="115"/>
        <v/>
      </c>
      <c r="O496" s="12" t="str">
        <f t="shared" si="116"/>
        <v/>
      </c>
      <c r="P496" s="12" t="str">
        <f t="shared" si="117"/>
        <v/>
      </c>
      <c r="Q496" s="12" t="e">
        <f t="shared" si="120"/>
        <v>#VALUE!</v>
      </c>
      <c r="R496" s="39" t="str">
        <f t="shared" si="119"/>
        <v/>
      </c>
      <c r="V496" s="12" t="str">
        <f t="shared" si="108"/>
        <v/>
      </c>
      <c r="W496" s="22" t="str">
        <f t="shared" si="107"/>
        <v/>
      </c>
    </row>
    <row r="497" spans="7:23" x14ac:dyDescent="0.25">
      <c r="G497" s="12" t="str">
        <f t="shared" si="118"/>
        <v/>
      </c>
      <c r="H497" s="12" t="str">
        <f t="shared" si="109"/>
        <v/>
      </c>
      <c r="I497" s="12" t="str">
        <f t="shared" si="110"/>
        <v/>
      </c>
      <c r="J497" s="12" t="str">
        <f t="shared" si="111"/>
        <v/>
      </c>
      <c r="K497" s="12" t="str">
        <f t="shared" si="112"/>
        <v/>
      </c>
      <c r="L497" s="12" t="str">
        <f t="shared" si="113"/>
        <v/>
      </c>
      <c r="M497" s="12" t="str">
        <f t="shared" si="114"/>
        <v/>
      </c>
      <c r="N497" s="12" t="str">
        <f t="shared" si="115"/>
        <v/>
      </c>
      <c r="O497" s="12" t="str">
        <f t="shared" si="116"/>
        <v/>
      </c>
      <c r="P497" s="12" t="str">
        <f t="shared" si="117"/>
        <v/>
      </c>
      <c r="Q497" s="12" t="e">
        <f t="shared" si="120"/>
        <v>#VALUE!</v>
      </c>
      <c r="R497" s="39" t="str">
        <f t="shared" si="119"/>
        <v/>
      </c>
      <c r="V497" s="12" t="str">
        <f t="shared" si="108"/>
        <v/>
      </c>
      <c r="W497" s="22" t="str">
        <f t="shared" si="107"/>
        <v/>
      </c>
    </row>
    <row r="498" spans="7:23" x14ac:dyDescent="0.25">
      <c r="G498" s="12" t="str">
        <f t="shared" si="118"/>
        <v/>
      </c>
      <c r="H498" s="12" t="str">
        <f t="shared" si="109"/>
        <v/>
      </c>
      <c r="I498" s="12" t="str">
        <f t="shared" si="110"/>
        <v/>
      </c>
      <c r="J498" s="12" t="str">
        <f t="shared" si="111"/>
        <v/>
      </c>
      <c r="K498" s="12" t="str">
        <f t="shared" si="112"/>
        <v/>
      </c>
      <c r="L498" s="12" t="str">
        <f t="shared" si="113"/>
        <v/>
      </c>
      <c r="M498" s="12" t="str">
        <f t="shared" si="114"/>
        <v/>
      </c>
      <c r="N498" s="12" t="str">
        <f t="shared" si="115"/>
        <v/>
      </c>
      <c r="O498" s="12" t="str">
        <f t="shared" si="116"/>
        <v/>
      </c>
      <c r="P498" s="12" t="str">
        <f t="shared" si="117"/>
        <v/>
      </c>
      <c r="Q498" s="12" t="e">
        <f t="shared" si="120"/>
        <v>#VALUE!</v>
      </c>
      <c r="R498" s="39" t="str">
        <f t="shared" si="119"/>
        <v/>
      </c>
      <c r="V498" s="12" t="str">
        <f t="shared" si="108"/>
        <v/>
      </c>
      <c r="W498" s="22" t="str">
        <f t="shared" si="107"/>
        <v/>
      </c>
    </row>
    <row r="499" spans="7:23" x14ac:dyDescent="0.25">
      <c r="G499" s="12" t="str">
        <f t="shared" si="118"/>
        <v/>
      </c>
      <c r="H499" s="12" t="str">
        <f t="shared" si="109"/>
        <v/>
      </c>
      <c r="I499" s="12" t="str">
        <f t="shared" si="110"/>
        <v/>
      </c>
      <c r="J499" s="12" t="str">
        <f t="shared" si="111"/>
        <v/>
      </c>
      <c r="K499" s="12" t="str">
        <f t="shared" si="112"/>
        <v/>
      </c>
      <c r="L499" s="12" t="str">
        <f t="shared" si="113"/>
        <v/>
      </c>
      <c r="M499" s="12" t="str">
        <f t="shared" si="114"/>
        <v/>
      </c>
      <c r="N499" s="12" t="str">
        <f t="shared" si="115"/>
        <v/>
      </c>
      <c r="O499" s="12" t="str">
        <f t="shared" si="116"/>
        <v/>
      </c>
      <c r="P499" s="12" t="str">
        <f t="shared" si="117"/>
        <v/>
      </c>
      <c r="Q499" s="12" t="e">
        <f t="shared" si="120"/>
        <v>#VALUE!</v>
      </c>
      <c r="R499" s="39" t="str">
        <f t="shared" si="119"/>
        <v/>
      </c>
      <c r="V499" s="12" t="str">
        <f t="shared" si="108"/>
        <v/>
      </c>
      <c r="W499" s="22" t="str">
        <f t="shared" si="107"/>
        <v/>
      </c>
    </row>
    <row r="500" spans="7:23" x14ac:dyDescent="0.25">
      <c r="G500" s="12" t="str">
        <f t="shared" si="118"/>
        <v/>
      </c>
      <c r="H500" s="12" t="str">
        <f t="shared" si="109"/>
        <v/>
      </c>
      <c r="I500" s="12" t="str">
        <f t="shared" si="110"/>
        <v/>
      </c>
      <c r="J500" s="12" t="str">
        <f t="shared" si="111"/>
        <v/>
      </c>
      <c r="K500" s="12" t="str">
        <f t="shared" si="112"/>
        <v/>
      </c>
      <c r="L500" s="12" t="str">
        <f t="shared" si="113"/>
        <v/>
      </c>
      <c r="M500" s="12" t="str">
        <f t="shared" si="114"/>
        <v/>
      </c>
      <c r="N500" s="12" t="str">
        <f t="shared" si="115"/>
        <v/>
      </c>
      <c r="O500" s="12" t="str">
        <f t="shared" si="116"/>
        <v/>
      </c>
      <c r="P500" s="12" t="str">
        <f t="shared" si="117"/>
        <v/>
      </c>
      <c r="Q500" s="12" t="e">
        <f t="shared" si="120"/>
        <v>#VALUE!</v>
      </c>
      <c r="R500" s="39" t="str">
        <f t="shared" si="119"/>
        <v/>
      </c>
      <c r="V500" s="12" t="str">
        <f t="shared" si="108"/>
        <v/>
      </c>
      <c r="W500" s="22" t="str">
        <f t="shared" si="107"/>
        <v/>
      </c>
    </row>
    <row r="501" spans="7:23" x14ac:dyDescent="0.25">
      <c r="G501" s="12" t="str">
        <f t="shared" si="118"/>
        <v/>
      </c>
      <c r="H501" s="12" t="str">
        <f t="shared" si="109"/>
        <v/>
      </c>
      <c r="I501" s="12" t="str">
        <f t="shared" si="110"/>
        <v/>
      </c>
      <c r="J501" s="12" t="str">
        <f t="shared" si="111"/>
        <v/>
      </c>
      <c r="K501" s="12" t="str">
        <f t="shared" si="112"/>
        <v/>
      </c>
      <c r="L501" s="12" t="str">
        <f t="shared" si="113"/>
        <v/>
      </c>
      <c r="M501" s="12" t="str">
        <f t="shared" si="114"/>
        <v/>
      </c>
      <c r="N501" s="12" t="str">
        <f t="shared" si="115"/>
        <v/>
      </c>
      <c r="O501" s="12" t="str">
        <f t="shared" si="116"/>
        <v/>
      </c>
      <c r="P501" s="12" t="str">
        <f t="shared" si="117"/>
        <v/>
      </c>
      <c r="Q501" s="12" t="e">
        <f t="shared" si="120"/>
        <v>#VALUE!</v>
      </c>
      <c r="R501" s="39" t="str">
        <f t="shared" si="119"/>
        <v/>
      </c>
      <c r="V501" s="12" t="str">
        <f t="shared" si="108"/>
        <v/>
      </c>
      <c r="W501" s="22" t="str">
        <f t="shared" si="107"/>
        <v/>
      </c>
    </row>
    <row r="502" spans="7:23" x14ac:dyDescent="0.25">
      <c r="G502" s="12" t="str">
        <f t="shared" si="118"/>
        <v/>
      </c>
      <c r="H502" s="12" t="str">
        <f t="shared" si="109"/>
        <v/>
      </c>
      <c r="I502" s="12" t="str">
        <f t="shared" si="110"/>
        <v/>
      </c>
      <c r="J502" s="12" t="str">
        <f t="shared" si="111"/>
        <v/>
      </c>
      <c r="K502" s="12" t="str">
        <f t="shared" si="112"/>
        <v/>
      </c>
      <c r="L502" s="12" t="str">
        <f t="shared" si="113"/>
        <v/>
      </c>
      <c r="M502" s="12" t="str">
        <f t="shared" si="114"/>
        <v/>
      </c>
      <c r="N502" s="12" t="str">
        <f t="shared" si="115"/>
        <v/>
      </c>
      <c r="O502" s="12" t="str">
        <f t="shared" si="116"/>
        <v/>
      </c>
      <c r="P502" s="12" t="str">
        <f t="shared" si="117"/>
        <v/>
      </c>
      <c r="Q502" s="12" t="e">
        <f t="shared" si="120"/>
        <v>#VALUE!</v>
      </c>
      <c r="R502" s="39" t="str">
        <f t="shared" si="119"/>
        <v/>
      </c>
      <c r="V502" s="12" t="str">
        <f t="shared" si="108"/>
        <v/>
      </c>
      <c r="W502" s="22" t="str">
        <f t="shared" ref="W502:W565" si="121">_xlfn.IFS(V502="","",SECOND(V502)&lt;10,"",  (HOUR(V502)*3600+MINUTE(V502)*60+SECOND(V502))&gt;60,"", (HOUR(V502)*3600+MINUTE(V502)*60+SECOND(V502))&lt;60, HOUR(V502)*3600+MINUTE(V502)*60+SECOND(V502))</f>
        <v/>
      </c>
    </row>
    <row r="503" spans="7:23" x14ac:dyDescent="0.25">
      <c r="G503" s="12" t="str">
        <f t="shared" si="118"/>
        <v/>
      </c>
      <c r="H503" s="12" t="str">
        <f t="shared" si="109"/>
        <v/>
      </c>
      <c r="I503" s="12" t="str">
        <f t="shared" si="110"/>
        <v/>
      </c>
      <c r="J503" s="12" t="str">
        <f t="shared" si="111"/>
        <v/>
      </c>
      <c r="K503" s="12" t="str">
        <f t="shared" si="112"/>
        <v/>
      </c>
      <c r="L503" s="12" t="str">
        <f t="shared" si="113"/>
        <v/>
      </c>
      <c r="M503" s="12" t="str">
        <f t="shared" si="114"/>
        <v/>
      </c>
      <c r="N503" s="12" t="str">
        <f t="shared" si="115"/>
        <v/>
      </c>
      <c r="O503" s="12" t="str">
        <f t="shared" si="116"/>
        <v/>
      </c>
      <c r="P503" s="12" t="str">
        <f t="shared" si="117"/>
        <v/>
      </c>
      <c r="Q503" s="12" t="e">
        <f t="shared" si="120"/>
        <v>#VALUE!</v>
      </c>
      <c r="R503" s="39" t="str">
        <f t="shared" si="119"/>
        <v/>
      </c>
      <c r="V503" s="12" t="str">
        <f t="shared" si="108"/>
        <v/>
      </c>
      <c r="W503" s="22" t="str">
        <f t="shared" si="121"/>
        <v/>
      </c>
    </row>
    <row r="504" spans="7:23" x14ac:dyDescent="0.25">
      <c r="G504" s="12" t="str">
        <f t="shared" si="118"/>
        <v/>
      </c>
      <c r="H504" s="12" t="str">
        <f t="shared" si="109"/>
        <v/>
      </c>
      <c r="I504" s="12" t="str">
        <f t="shared" si="110"/>
        <v/>
      </c>
      <c r="J504" s="12" t="str">
        <f t="shared" si="111"/>
        <v/>
      </c>
      <c r="K504" s="12" t="str">
        <f t="shared" si="112"/>
        <v/>
      </c>
      <c r="L504" s="12" t="str">
        <f t="shared" si="113"/>
        <v/>
      </c>
      <c r="M504" s="12" t="str">
        <f t="shared" si="114"/>
        <v/>
      </c>
      <c r="N504" s="12" t="str">
        <f t="shared" si="115"/>
        <v/>
      </c>
      <c r="O504" s="12" t="str">
        <f t="shared" si="116"/>
        <v/>
      </c>
      <c r="P504" s="12" t="str">
        <f t="shared" si="117"/>
        <v/>
      </c>
      <c r="Q504" s="12" t="e">
        <f t="shared" si="120"/>
        <v>#VALUE!</v>
      </c>
      <c r="R504" s="39" t="str">
        <f t="shared" si="119"/>
        <v/>
      </c>
      <c r="V504" s="12" t="str">
        <f t="shared" si="108"/>
        <v/>
      </c>
      <c r="W504" s="22" t="str">
        <f t="shared" si="121"/>
        <v/>
      </c>
    </row>
    <row r="505" spans="7:23" x14ac:dyDescent="0.25">
      <c r="G505" s="12" t="str">
        <f t="shared" si="118"/>
        <v/>
      </c>
      <c r="H505" s="12" t="str">
        <f t="shared" si="109"/>
        <v/>
      </c>
      <c r="I505" s="12" t="str">
        <f t="shared" si="110"/>
        <v/>
      </c>
      <c r="J505" s="12" t="str">
        <f t="shared" si="111"/>
        <v/>
      </c>
      <c r="K505" s="12" t="str">
        <f t="shared" si="112"/>
        <v/>
      </c>
      <c r="L505" s="12" t="str">
        <f t="shared" si="113"/>
        <v/>
      </c>
      <c r="M505" s="12" t="str">
        <f t="shared" si="114"/>
        <v/>
      </c>
      <c r="N505" s="12" t="str">
        <f t="shared" si="115"/>
        <v/>
      </c>
      <c r="O505" s="12" t="str">
        <f t="shared" si="116"/>
        <v/>
      </c>
      <c r="P505" s="12" t="str">
        <f t="shared" si="117"/>
        <v/>
      </c>
      <c r="Q505" s="12" t="e">
        <f t="shared" si="120"/>
        <v>#VALUE!</v>
      </c>
      <c r="R505" s="39" t="str">
        <f t="shared" si="119"/>
        <v/>
      </c>
      <c r="V505" s="12" t="str">
        <f t="shared" si="108"/>
        <v/>
      </c>
      <c r="W505" s="22" t="str">
        <f t="shared" si="121"/>
        <v/>
      </c>
    </row>
    <row r="506" spans="7:23" x14ac:dyDescent="0.25">
      <c r="G506" s="12" t="str">
        <f t="shared" si="118"/>
        <v/>
      </c>
      <c r="H506" s="12" t="str">
        <f t="shared" si="109"/>
        <v/>
      </c>
      <c r="I506" s="12" t="str">
        <f t="shared" si="110"/>
        <v/>
      </c>
      <c r="J506" s="12" t="str">
        <f t="shared" si="111"/>
        <v/>
      </c>
      <c r="K506" s="12" t="str">
        <f t="shared" si="112"/>
        <v/>
      </c>
      <c r="L506" s="12" t="str">
        <f t="shared" si="113"/>
        <v/>
      </c>
      <c r="M506" s="12" t="str">
        <f t="shared" si="114"/>
        <v/>
      </c>
      <c r="N506" s="12" t="str">
        <f t="shared" si="115"/>
        <v/>
      </c>
      <c r="O506" s="12" t="str">
        <f t="shared" si="116"/>
        <v/>
      </c>
      <c r="P506" s="12" t="str">
        <f t="shared" si="117"/>
        <v/>
      </c>
      <c r="Q506" s="12" t="e">
        <f t="shared" si="120"/>
        <v>#VALUE!</v>
      </c>
      <c r="R506" s="39" t="str">
        <f t="shared" si="119"/>
        <v/>
      </c>
      <c r="V506" s="12" t="str">
        <f t="shared" si="108"/>
        <v/>
      </c>
      <c r="W506" s="22" t="str">
        <f t="shared" si="121"/>
        <v/>
      </c>
    </row>
    <row r="507" spans="7:23" x14ac:dyDescent="0.25">
      <c r="G507" s="12" t="str">
        <f t="shared" si="118"/>
        <v/>
      </c>
      <c r="H507" s="12" t="str">
        <f t="shared" si="109"/>
        <v/>
      </c>
      <c r="I507" s="12" t="str">
        <f t="shared" si="110"/>
        <v/>
      </c>
      <c r="J507" s="12" t="str">
        <f t="shared" si="111"/>
        <v/>
      </c>
      <c r="K507" s="12" t="str">
        <f t="shared" si="112"/>
        <v/>
      </c>
      <c r="L507" s="12" t="str">
        <f t="shared" si="113"/>
        <v/>
      </c>
      <c r="M507" s="12" t="str">
        <f t="shared" si="114"/>
        <v/>
      </c>
      <c r="N507" s="12" t="str">
        <f t="shared" si="115"/>
        <v/>
      </c>
      <c r="O507" s="12" t="str">
        <f t="shared" si="116"/>
        <v/>
      </c>
      <c r="P507" s="12" t="str">
        <f t="shared" si="117"/>
        <v/>
      </c>
      <c r="Q507" s="12" t="e">
        <f t="shared" si="120"/>
        <v>#VALUE!</v>
      </c>
      <c r="R507" s="39" t="str">
        <f t="shared" si="119"/>
        <v/>
      </c>
      <c r="V507" s="12" t="str">
        <f t="shared" si="108"/>
        <v/>
      </c>
      <c r="W507" s="22" t="str">
        <f t="shared" si="121"/>
        <v/>
      </c>
    </row>
    <row r="508" spans="7:23" x14ac:dyDescent="0.25">
      <c r="G508" s="12" t="str">
        <f t="shared" si="118"/>
        <v/>
      </c>
      <c r="H508" s="12" t="str">
        <f t="shared" si="109"/>
        <v/>
      </c>
      <c r="I508" s="12" t="str">
        <f t="shared" si="110"/>
        <v/>
      </c>
      <c r="J508" s="12" t="str">
        <f t="shared" si="111"/>
        <v/>
      </c>
      <c r="K508" s="12" t="str">
        <f t="shared" si="112"/>
        <v/>
      </c>
      <c r="L508" s="12" t="str">
        <f t="shared" si="113"/>
        <v/>
      </c>
      <c r="M508" s="12" t="str">
        <f t="shared" si="114"/>
        <v/>
      </c>
      <c r="N508" s="12" t="str">
        <f t="shared" si="115"/>
        <v/>
      </c>
      <c r="O508" s="12" t="str">
        <f t="shared" si="116"/>
        <v/>
      </c>
      <c r="P508" s="12" t="str">
        <f t="shared" si="117"/>
        <v/>
      </c>
      <c r="Q508" s="12" t="e">
        <f t="shared" si="120"/>
        <v>#VALUE!</v>
      </c>
      <c r="R508" s="39" t="str">
        <f t="shared" si="119"/>
        <v/>
      </c>
      <c r="V508" s="12" t="str">
        <f t="shared" si="108"/>
        <v/>
      </c>
      <c r="W508" s="22" t="str">
        <f t="shared" si="121"/>
        <v/>
      </c>
    </row>
    <row r="509" spans="7:23" x14ac:dyDescent="0.25">
      <c r="G509" s="12" t="str">
        <f t="shared" si="118"/>
        <v/>
      </c>
      <c r="H509" s="12" t="str">
        <f t="shared" si="109"/>
        <v/>
      </c>
      <c r="I509" s="12" t="str">
        <f t="shared" si="110"/>
        <v/>
      </c>
      <c r="J509" s="12" t="str">
        <f t="shared" si="111"/>
        <v/>
      </c>
      <c r="K509" s="12" t="str">
        <f t="shared" si="112"/>
        <v/>
      </c>
      <c r="L509" s="12" t="str">
        <f t="shared" si="113"/>
        <v/>
      </c>
      <c r="M509" s="12" t="str">
        <f t="shared" si="114"/>
        <v/>
      </c>
      <c r="N509" s="12" t="str">
        <f t="shared" si="115"/>
        <v/>
      </c>
      <c r="O509" s="12" t="str">
        <f t="shared" si="116"/>
        <v/>
      </c>
      <c r="P509" s="12" t="str">
        <f t="shared" si="117"/>
        <v/>
      </c>
      <c r="Q509" s="12" t="e">
        <f t="shared" si="120"/>
        <v>#VALUE!</v>
      </c>
      <c r="R509" s="39" t="str">
        <f t="shared" si="119"/>
        <v/>
      </c>
      <c r="V509" s="12" t="str">
        <f t="shared" si="108"/>
        <v/>
      </c>
      <c r="W509" s="22" t="str">
        <f t="shared" si="121"/>
        <v/>
      </c>
    </row>
    <row r="510" spans="7:23" x14ac:dyDescent="0.25">
      <c r="G510" s="12" t="str">
        <f t="shared" si="118"/>
        <v/>
      </c>
      <c r="H510" s="12" t="str">
        <f t="shared" si="109"/>
        <v/>
      </c>
      <c r="I510" s="12" t="str">
        <f t="shared" si="110"/>
        <v/>
      </c>
      <c r="J510" s="12" t="str">
        <f t="shared" si="111"/>
        <v/>
      </c>
      <c r="K510" s="12" t="str">
        <f t="shared" si="112"/>
        <v/>
      </c>
      <c r="L510" s="12" t="str">
        <f t="shared" si="113"/>
        <v/>
      </c>
      <c r="M510" s="12" t="str">
        <f t="shared" si="114"/>
        <v/>
      </c>
      <c r="N510" s="12" t="str">
        <f t="shared" si="115"/>
        <v/>
      </c>
      <c r="O510" s="12" t="str">
        <f t="shared" si="116"/>
        <v/>
      </c>
      <c r="P510" s="12" t="str">
        <f t="shared" si="117"/>
        <v/>
      </c>
      <c r="Q510" s="12" t="e">
        <f t="shared" si="120"/>
        <v>#VALUE!</v>
      </c>
      <c r="R510" s="39" t="str">
        <f t="shared" si="119"/>
        <v/>
      </c>
      <c r="V510" s="12" t="str">
        <f t="shared" si="108"/>
        <v/>
      </c>
      <c r="W510" s="22" t="str">
        <f t="shared" si="121"/>
        <v/>
      </c>
    </row>
    <row r="511" spans="7:23" x14ac:dyDescent="0.25">
      <c r="G511" s="12" t="str">
        <f t="shared" si="118"/>
        <v/>
      </c>
      <c r="H511" s="12" t="str">
        <f t="shared" si="109"/>
        <v/>
      </c>
      <c r="I511" s="12" t="str">
        <f t="shared" si="110"/>
        <v/>
      </c>
      <c r="J511" s="12" t="str">
        <f t="shared" si="111"/>
        <v/>
      </c>
      <c r="K511" s="12" t="str">
        <f t="shared" si="112"/>
        <v/>
      </c>
      <c r="L511" s="12" t="str">
        <f t="shared" si="113"/>
        <v/>
      </c>
      <c r="M511" s="12" t="str">
        <f t="shared" si="114"/>
        <v/>
      </c>
      <c r="N511" s="12" t="str">
        <f t="shared" si="115"/>
        <v/>
      </c>
      <c r="O511" s="12" t="str">
        <f t="shared" si="116"/>
        <v/>
      </c>
      <c r="P511" s="12" t="str">
        <f t="shared" si="117"/>
        <v/>
      </c>
      <c r="Q511" s="12" t="e">
        <f t="shared" si="120"/>
        <v>#VALUE!</v>
      </c>
      <c r="R511" s="39" t="str">
        <f t="shared" si="119"/>
        <v/>
      </c>
      <c r="V511" s="12" t="str">
        <f t="shared" si="108"/>
        <v/>
      </c>
      <c r="W511" s="22" t="str">
        <f t="shared" si="121"/>
        <v/>
      </c>
    </row>
    <row r="512" spans="7:23" x14ac:dyDescent="0.25">
      <c r="G512" s="12" t="str">
        <f t="shared" si="118"/>
        <v/>
      </c>
      <c r="H512" s="12" t="str">
        <f t="shared" si="109"/>
        <v/>
      </c>
      <c r="I512" s="12" t="str">
        <f t="shared" si="110"/>
        <v/>
      </c>
      <c r="J512" s="12" t="str">
        <f t="shared" si="111"/>
        <v/>
      </c>
      <c r="K512" s="12" t="str">
        <f t="shared" si="112"/>
        <v/>
      </c>
      <c r="L512" s="12" t="str">
        <f t="shared" si="113"/>
        <v/>
      </c>
      <c r="M512" s="12" t="str">
        <f t="shared" si="114"/>
        <v/>
      </c>
      <c r="N512" s="12" t="str">
        <f t="shared" si="115"/>
        <v/>
      </c>
      <c r="O512" s="12" t="str">
        <f t="shared" si="116"/>
        <v/>
      </c>
      <c r="P512" s="12" t="str">
        <f t="shared" si="117"/>
        <v/>
      </c>
      <c r="Q512" s="12" t="e">
        <f t="shared" si="120"/>
        <v>#VALUE!</v>
      </c>
      <c r="R512" s="39" t="str">
        <f t="shared" si="119"/>
        <v/>
      </c>
      <c r="V512" s="12" t="str">
        <f t="shared" si="108"/>
        <v/>
      </c>
      <c r="W512" s="22" t="str">
        <f t="shared" si="121"/>
        <v/>
      </c>
    </row>
    <row r="513" spans="7:23" x14ac:dyDescent="0.25">
      <c r="G513" s="12" t="str">
        <f t="shared" si="118"/>
        <v/>
      </c>
      <c r="H513" s="12" t="str">
        <f t="shared" si="109"/>
        <v/>
      </c>
      <c r="I513" s="12" t="str">
        <f t="shared" si="110"/>
        <v/>
      </c>
      <c r="J513" s="12" t="str">
        <f t="shared" si="111"/>
        <v/>
      </c>
      <c r="K513" s="12" t="str">
        <f t="shared" si="112"/>
        <v/>
      </c>
      <c r="L513" s="12" t="str">
        <f t="shared" si="113"/>
        <v/>
      </c>
      <c r="M513" s="12" t="str">
        <f t="shared" si="114"/>
        <v/>
      </c>
      <c r="N513" s="12" t="str">
        <f t="shared" si="115"/>
        <v/>
      </c>
      <c r="O513" s="12" t="str">
        <f t="shared" si="116"/>
        <v/>
      </c>
      <c r="P513" s="12" t="str">
        <f t="shared" si="117"/>
        <v/>
      </c>
      <c r="Q513" s="12" t="e">
        <f t="shared" si="120"/>
        <v>#VALUE!</v>
      </c>
      <c r="R513" s="39" t="str">
        <f t="shared" si="119"/>
        <v/>
      </c>
      <c r="V513" s="12" t="str">
        <f t="shared" si="108"/>
        <v/>
      </c>
      <c r="W513" s="22" t="str">
        <f t="shared" si="121"/>
        <v/>
      </c>
    </row>
    <row r="514" spans="7:23" x14ac:dyDescent="0.25">
      <c r="G514" s="12" t="str">
        <f t="shared" si="118"/>
        <v/>
      </c>
      <c r="H514" s="12" t="str">
        <f t="shared" si="109"/>
        <v/>
      </c>
      <c r="I514" s="12" t="str">
        <f t="shared" si="110"/>
        <v/>
      </c>
      <c r="J514" s="12" t="str">
        <f t="shared" si="111"/>
        <v/>
      </c>
      <c r="K514" s="12" t="str">
        <f t="shared" si="112"/>
        <v/>
      </c>
      <c r="L514" s="12" t="str">
        <f t="shared" si="113"/>
        <v/>
      </c>
      <c r="M514" s="12" t="str">
        <f t="shared" si="114"/>
        <v/>
      </c>
      <c r="N514" s="12" t="str">
        <f t="shared" si="115"/>
        <v/>
      </c>
      <c r="O514" s="12" t="str">
        <f t="shared" si="116"/>
        <v/>
      </c>
      <c r="P514" s="12" t="str">
        <f t="shared" si="117"/>
        <v/>
      </c>
      <c r="Q514" s="12" t="e">
        <f t="shared" si="120"/>
        <v>#VALUE!</v>
      </c>
      <c r="R514" s="39" t="str">
        <f t="shared" si="119"/>
        <v/>
      </c>
      <c r="V514" s="12" t="str">
        <f t="shared" si="108"/>
        <v/>
      </c>
      <c r="W514" s="22" t="str">
        <f t="shared" si="121"/>
        <v/>
      </c>
    </row>
    <row r="515" spans="7:23" x14ac:dyDescent="0.25">
      <c r="G515" s="12" t="str">
        <f t="shared" si="118"/>
        <v/>
      </c>
      <c r="H515" s="12" t="str">
        <f t="shared" si="109"/>
        <v/>
      </c>
      <c r="I515" s="12" t="str">
        <f t="shared" si="110"/>
        <v/>
      </c>
      <c r="J515" s="12" t="str">
        <f t="shared" si="111"/>
        <v/>
      </c>
      <c r="K515" s="12" t="str">
        <f t="shared" si="112"/>
        <v/>
      </c>
      <c r="L515" s="12" t="str">
        <f t="shared" si="113"/>
        <v/>
      </c>
      <c r="M515" s="12" t="str">
        <f t="shared" si="114"/>
        <v/>
      </c>
      <c r="N515" s="12" t="str">
        <f t="shared" si="115"/>
        <v/>
      </c>
      <c r="O515" s="12" t="str">
        <f t="shared" si="116"/>
        <v/>
      </c>
      <c r="P515" s="12" t="str">
        <f t="shared" si="117"/>
        <v/>
      </c>
      <c r="Q515" s="12" t="e">
        <f t="shared" si="120"/>
        <v>#VALUE!</v>
      </c>
      <c r="R515" s="39" t="str">
        <f t="shared" si="119"/>
        <v/>
      </c>
      <c r="V515" s="12" t="str">
        <f t="shared" si="108"/>
        <v/>
      </c>
      <c r="W515" s="22" t="str">
        <f t="shared" si="121"/>
        <v/>
      </c>
    </row>
    <row r="516" spans="7:23" x14ac:dyDescent="0.25">
      <c r="G516" s="12" t="str">
        <f t="shared" si="118"/>
        <v/>
      </c>
      <c r="H516" s="12" t="str">
        <f t="shared" si="109"/>
        <v/>
      </c>
      <c r="I516" s="12" t="str">
        <f t="shared" si="110"/>
        <v/>
      </c>
      <c r="J516" s="12" t="str">
        <f t="shared" si="111"/>
        <v/>
      </c>
      <c r="K516" s="12" t="str">
        <f t="shared" si="112"/>
        <v/>
      </c>
      <c r="L516" s="12" t="str">
        <f t="shared" si="113"/>
        <v/>
      </c>
      <c r="M516" s="12" t="str">
        <f t="shared" si="114"/>
        <v/>
      </c>
      <c r="N516" s="12" t="str">
        <f t="shared" si="115"/>
        <v/>
      </c>
      <c r="O516" s="12" t="str">
        <f t="shared" si="116"/>
        <v/>
      </c>
      <c r="P516" s="12" t="str">
        <f t="shared" si="117"/>
        <v/>
      </c>
      <c r="Q516" s="12" t="e">
        <f t="shared" si="120"/>
        <v>#VALUE!</v>
      </c>
      <c r="R516" s="39" t="str">
        <f t="shared" si="119"/>
        <v/>
      </c>
      <c r="V516" s="12" t="str">
        <f t="shared" si="108"/>
        <v/>
      </c>
      <c r="W516" s="22" t="str">
        <f t="shared" si="121"/>
        <v/>
      </c>
    </row>
    <row r="517" spans="7:23" x14ac:dyDescent="0.25">
      <c r="G517" s="12" t="str">
        <f t="shared" si="118"/>
        <v/>
      </c>
      <c r="H517" s="12" t="str">
        <f t="shared" si="109"/>
        <v/>
      </c>
      <c r="I517" s="12" t="str">
        <f t="shared" si="110"/>
        <v/>
      </c>
      <c r="J517" s="12" t="str">
        <f t="shared" si="111"/>
        <v/>
      </c>
      <c r="K517" s="12" t="str">
        <f t="shared" si="112"/>
        <v/>
      </c>
      <c r="L517" s="12" t="str">
        <f t="shared" si="113"/>
        <v/>
      </c>
      <c r="M517" s="12" t="str">
        <f t="shared" si="114"/>
        <v/>
      </c>
      <c r="N517" s="12" t="str">
        <f t="shared" si="115"/>
        <v/>
      </c>
      <c r="O517" s="12" t="str">
        <f t="shared" si="116"/>
        <v/>
      </c>
      <c r="P517" s="12" t="str">
        <f t="shared" si="117"/>
        <v/>
      </c>
      <c r="Q517" s="12" t="e">
        <f t="shared" si="120"/>
        <v>#VALUE!</v>
      </c>
      <c r="R517" s="39" t="str">
        <f t="shared" si="119"/>
        <v/>
      </c>
      <c r="V517" s="12" t="str">
        <f t="shared" si="108"/>
        <v/>
      </c>
      <c r="W517" s="22" t="str">
        <f t="shared" si="121"/>
        <v/>
      </c>
    </row>
    <row r="518" spans="7:23" x14ac:dyDescent="0.25">
      <c r="G518" s="12" t="str">
        <f t="shared" si="118"/>
        <v/>
      </c>
      <c r="H518" s="12" t="str">
        <f t="shared" si="109"/>
        <v/>
      </c>
      <c r="I518" s="12" t="str">
        <f t="shared" si="110"/>
        <v/>
      </c>
      <c r="J518" s="12" t="str">
        <f t="shared" si="111"/>
        <v/>
      </c>
      <c r="K518" s="12" t="str">
        <f t="shared" si="112"/>
        <v/>
      </c>
      <c r="L518" s="12" t="str">
        <f t="shared" si="113"/>
        <v/>
      </c>
      <c r="M518" s="12" t="str">
        <f t="shared" si="114"/>
        <v/>
      </c>
      <c r="N518" s="12" t="str">
        <f t="shared" si="115"/>
        <v/>
      </c>
      <c r="O518" s="12" t="str">
        <f t="shared" si="116"/>
        <v/>
      </c>
      <c r="P518" s="12" t="str">
        <f t="shared" si="117"/>
        <v/>
      </c>
      <c r="Q518" s="12" t="e">
        <f t="shared" si="120"/>
        <v>#VALUE!</v>
      </c>
      <c r="R518" s="39" t="str">
        <f t="shared" si="119"/>
        <v/>
      </c>
      <c r="V518" s="12" t="str">
        <f t="shared" si="108"/>
        <v/>
      </c>
      <c r="W518" s="22" t="str">
        <f t="shared" si="121"/>
        <v/>
      </c>
    </row>
    <row r="519" spans="7:23" x14ac:dyDescent="0.25">
      <c r="G519" s="12" t="str">
        <f t="shared" si="118"/>
        <v/>
      </c>
      <c r="H519" s="12" t="str">
        <f t="shared" si="109"/>
        <v/>
      </c>
      <c r="I519" s="12" t="str">
        <f t="shared" si="110"/>
        <v/>
      </c>
      <c r="J519" s="12" t="str">
        <f t="shared" si="111"/>
        <v/>
      </c>
      <c r="K519" s="12" t="str">
        <f t="shared" si="112"/>
        <v/>
      </c>
      <c r="L519" s="12" t="str">
        <f t="shared" si="113"/>
        <v/>
      </c>
      <c r="M519" s="12" t="str">
        <f t="shared" si="114"/>
        <v/>
      </c>
      <c r="N519" s="12" t="str">
        <f t="shared" si="115"/>
        <v/>
      </c>
      <c r="O519" s="12" t="str">
        <f t="shared" si="116"/>
        <v/>
      </c>
      <c r="P519" s="12" t="str">
        <f t="shared" si="117"/>
        <v/>
      </c>
      <c r="Q519" s="12" t="e">
        <f t="shared" si="120"/>
        <v>#VALUE!</v>
      </c>
      <c r="R519" s="39" t="str">
        <f t="shared" si="119"/>
        <v/>
      </c>
      <c r="V519" s="12" t="str">
        <f t="shared" si="108"/>
        <v/>
      </c>
      <c r="W519" s="22" t="str">
        <f t="shared" si="121"/>
        <v/>
      </c>
    </row>
    <row r="520" spans="7:23" x14ac:dyDescent="0.25">
      <c r="G520" s="12" t="str">
        <f t="shared" si="118"/>
        <v/>
      </c>
      <c r="H520" s="12" t="str">
        <f t="shared" si="109"/>
        <v/>
      </c>
      <c r="I520" s="12" t="str">
        <f t="shared" si="110"/>
        <v/>
      </c>
      <c r="J520" s="12" t="str">
        <f t="shared" si="111"/>
        <v/>
      </c>
      <c r="K520" s="12" t="str">
        <f t="shared" si="112"/>
        <v/>
      </c>
      <c r="L520" s="12" t="str">
        <f t="shared" si="113"/>
        <v/>
      </c>
      <c r="M520" s="12" t="str">
        <f t="shared" si="114"/>
        <v/>
      </c>
      <c r="N520" s="12" t="str">
        <f t="shared" si="115"/>
        <v/>
      </c>
      <c r="O520" s="12" t="str">
        <f t="shared" si="116"/>
        <v/>
      </c>
      <c r="P520" s="12" t="str">
        <f t="shared" si="117"/>
        <v/>
      </c>
      <c r="Q520" s="12" t="e">
        <f t="shared" si="120"/>
        <v>#VALUE!</v>
      </c>
      <c r="R520" s="39" t="str">
        <f t="shared" si="119"/>
        <v/>
      </c>
      <c r="V520" s="12" t="str">
        <f t="shared" si="108"/>
        <v/>
      </c>
      <c r="W520" s="22" t="str">
        <f t="shared" si="121"/>
        <v/>
      </c>
    </row>
    <row r="521" spans="7:23" x14ac:dyDescent="0.25">
      <c r="G521" s="12" t="str">
        <f t="shared" si="118"/>
        <v/>
      </c>
      <c r="H521" s="12" t="str">
        <f t="shared" si="109"/>
        <v/>
      </c>
      <c r="I521" s="12" t="str">
        <f t="shared" si="110"/>
        <v/>
      </c>
      <c r="J521" s="12" t="str">
        <f t="shared" si="111"/>
        <v/>
      </c>
      <c r="K521" s="12" t="str">
        <f t="shared" si="112"/>
        <v/>
      </c>
      <c r="L521" s="12" t="str">
        <f t="shared" si="113"/>
        <v/>
      </c>
      <c r="M521" s="12" t="str">
        <f t="shared" si="114"/>
        <v/>
      </c>
      <c r="N521" s="12" t="str">
        <f t="shared" si="115"/>
        <v/>
      </c>
      <c r="O521" s="12" t="str">
        <f t="shared" si="116"/>
        <v/>
      </c>
      <c r="P521" s="12" t="str">
        <f t="shared" si="117"/>
        <v/>
      </c>
      <c r="Q521" s="12" t="e">
        <f t="shared" si="120"/>
        <v>#VALUE!</v>
      </c>
      <c r="R521" s="39" t="str">
        <f t="shared" si="119"/>
        <v/>
      </c>
      <c r="V521" s="12" t="str">
        <f t="shared" si="108"/>
        <v/>
      </c>
      <c r="W521" s="22" t="str">
        <f t="shared" si="121"/>
        <v/>
      </c>
    </row>
    <row r="522" spans="7:23" x14ac:dyDescent="0.25">
      <c r="G522" s="12" t="str">
        <f t="shared" si="118"/>
        <v/>
      </c>
      <c r="H522" s="12" t="str">
        <f t="shared" si="109"/>
        <v/>
      </c>
      <c r="I522" s="12" t="str">
        <f t="shared" si="110"/>
        <v/>
      </c>
      <c r="J522" s="12" t="str">
        <f t="shared" si="111"/>
        <v/>
      </c>
      <c r="K522" s="12" t="str">
        <f t="shared" si="112"/>
        <v/>
      </c>
      <c r="L522" s="12" t="str">
        <f t="shared" si="113"/>
        <v/>
      </c>
      <c r="M522" s="12" t="str">
        <f t="shared" si="114"/>
        <v/>
      </c>
      <c r="N522" s="12" t="str">
        <f t="shared" si="115"/>
        <v/>
      </c>
      <c r="O522" s="12" t="str">
        <f t="shared" si="116"/>
        <v/>
      </c>
      <c r="P522" s="12" t="str">
        <f t="shared" si="117"/>
        <v/>
      </c>
      <c r="Q522" s="12" t="e">
        <f t="shared" si="120"/>
        <v>#VALUE!</v>
      </c>
      <c r="R522" s="39" t="str">
        <f t="shared" si="119"/>
        <v/>
      </c>
      <c r="V522" s="12" t="str">
        <f t="shared" si="108"/>
        <v/>
      </c>
      <c r="W522" s="22" t="str">
        <f t="shared" si="121"/>
        <v/>
      </c>
    </row>
    <row r="523" spans="7:23" x14ac:dyDescent="0.25">
      <c r="G523" s="12" t="str">
        <f t="shared" si="118"/>
        <v/>
      </c>
      <c r="H523" s="12" t="str">
        <f t="shared" si="109"/>
        <v/>
      </c>
      <c r="I523" s="12" t="str">
        <f t="shared" si="110"/>
        <v/>
      </c>
      <c r="J523" s="12" t="str">
        <f t="shared" si="111"/>
        <v/>
      </c>
      <c r="K523" s="12" t="str">
        <f t="shared" si="112"/>
        <v/>
      </c>
      <c r="L523" s="12" t="str">
        <f t="shared" si="113"/>
        <v/>
      </c>
      <c r="M523" s="12" t="str">
        <f t="shared" si="114"/>
        <v/>
      </c>
      <c r="N523" s="12" t="str">
        <f t="shared" si="115"/>
        <v/>
      </c>
      <c r="O523" s="12" t="str">
        <f t="shared" si="116"/>
        <v/>
      </c>
      <c r="P523" s="12" t="str">
        <f t="shared" si="117"/>
        <v/>
      </c>
      <c r="Q523" s="12" t="e">
        <f t="shared" si="120"/>
        <v>#VALUE!</v>
      </c>
      <c r="R523" s="39" t="str">
        <f t="shared" si="119"/>
        <v/>
      </c>
      <c r="V523" s="12" t="str">
        <f t="shared" si="108"/>
        <v/>
      </c>
      <c r="W523" s="22" t="str">
        <f t="shared" si="121"/>
        <v/>
      </c>
    </row>
    <row r="524" spans="7:23" x14ac:dyDescent="0.25">
      <c r="G524" s="12" t="str">
        <f t="shared" si="118"/>
        <v/>
      </c>
      <c r="H524" s="12" t="str">
        <f t="shared" si="109"/>
        <v/>
      </c>
      <c r="I524" s="12" t="str">
        <f t="shared" si="110"/>
        <v/>
      </c>
      <c r="J524" s="12" t="str">
        <f t="shared" si="111"/>
        <v/>
      </c>
      <c r="K524" s="12" t="str">
        <f t="shared" si="112"/>
        <v/>
      </c>
      <c r="L524" s="12" t="str">
        <f t="shared" si="113"/>
        <v/>
      </c>
      <c r="M524" s="12" t="str">
        <f t="shared" si="114"/>
        <v/>
      </c>
      <c r="N524" s="12" t="str">
        <f t="shared" si="115"/>
        <v/>
      </c>
      <c r="O524" s="12" t="str">
        <f t="shared" si="116"/>
        <v/>
      </c>
      <c r="P524" s="12" t="str">
        <f t="shared" si="117"/>
        <v/>
      </c>
      <c r="Q524" s="12" t="e">
        <f t="shared" si="120"/>
        <v>#VALUE!</v>
      </c>
      <c r="R524" s="39" t="str">
        <f t="shared" si="119"/>
        <v/>
      </c>
      <c r="V524" s="12" t="str">
        <f t="shared" si="108"/>
        <v/>
      </c>
      <c r="W524" s="22" t="str">
        <f t="shared" si="121"/>
        <v/>
      </c>
    </row>
    <row r="525" spans="7:23" x14ac:dyDescent="0.25">
      <c r="G525" s="12" t="str">
        <f t="shared" si="118"/>
        <v/>
      </c>
      <c r="H525" s="12" t="str">
        <f t="shared" si="109"/>
        <v/>
      </c>
      <c r="I525" s="12" t="str">
        <f t="shared" si="110"/>
        <v/>
      </c>
      <c r="J525" s="12" t="str">
        <f t="shared" si="111"/>
        <v/>
      </c>
      <c r="K525" s="12" t="str">
        <f t="shared" si="112"/>
        <v/>
      </c>
      <c r="L525" s="12" t="str">
        <f t="shared" si="113"/>
        <v/>
      </c>
      <c r="M525" s="12" t="str">
        <f t="shared" si="114"/>
        <v/>
      </c>
      <c r="N525" s="12" t="str">
        <f t="shared" si="115"/>
        <v/>
      </c>
      <c r="O525" s="12" t="str">
        <f t="shared" si="116"/>
        <v/>
      </c>
      <c r="P525" s="12" t="str">
        <f t="shared" si="117"/>
        <v/>
      </c>
      <c r="Q525" s="12" t="e">
        <f t="shared" si="120"/>
        <v>#VALUE!</v>
      </c>
      <c r="R525" s="39" t="str">
        <f t="shared" si="119"/>
        <v/>
      </c>
      <c r="V525" s="12" t="str">
        <f t="shared" si="108"/>
        <v/>
      </c>
      <c r="W525" s="22" t="str">
        <f t="shared" si="121"/>
        <v/>
      </c>
    </row>
    <row r="526" spans="7:23" x14ac:dyDescent="0.25">
      <c r="G526" s="12" t="str">
        <f t="shared" si="118"/>
        <v/>
      </c>
      <c r="H526" s="12" t="str">
        <f t="shared" si="109"/>
        <v/>
      </c>
      <c r="I526" s="12" t="str">
        <f t="shared" si="110"/>
        <v/>
      </c>
      <c r="J526" s="12" t="str">
        <f t="shared" si="111"/>
        <v/>
      </c>
      <c r="K526" s="12" t="str">
        <f t="shared" si="112"/>
        <v/>
      </c>
      <c r="L526" s="12" t="str">
        <f t="shared" si="113"/>
        <v/>
      </c>
      <c r="M526" s="12" t="str">
        <f t="shared" si="114"/>
        <v/>
      </c>
      <c r="N526" s="12" t="str">
        <f t="shared" si="115"/>
        <v/>
      </c>
      <c r="O526" s="12" t="str">
        <f t="shared" si="116"/>
        <v/>
      </c>
      <c r="P526" s="12" t="str">
        <f t="shared" si="117"/>
        <v/>
      </c>
      <c r="Q526" s="12" t="e">
        <f t="shared" si="120"/>
        <v>#VALUE!</v>
      </c>
      <c r="R526" s="39" t="str">
        <f t="shared" si="119"/>
        <v/>
      </c>
      <c r="V526" s="12" t="str">
        <f t="shared" si="108"/>
        <v/>
      </c>
      <c r="W526" s="22" t="str">
        <f t="shared" si="121"/>
        <v/>
      </c>
    </row>
    <row r="527" spans="7:23" x14ac:dyDescent="0.25">
      <c r="G527" s="12" t="str">
        <f t="shared" si="118"/>
        <v/>
      </c>
      <c r="H527" s="12" t="str">
        <f t="shared" si="109"/>
        <v/>
      </c>
      <c r="I527" s="12" t="str">
        <f t="shared" si="110"/>
        <v/>
      </c>
      <c r="J527" s="12" t="str">
        <f t="shared" si="111"/>
        <v/>
      </c>
      <c r="K527" s="12" t="str">
        <f t="shared" si="112"/>
        <v/>
      </c>
      <c r="L527" s="12" t="str">
        <f t="shared" si="113"/>
        <v/>
      </c>
      <c r="M527" s="12" t="str">
        <f t="shared" si="114"/>
        <v/>
      </c>
      <c r="N527" s="12" t="str">
        <f t="shared" si="115"/>
        <v/>
      </c>
      <c r="O527" s="12" t="str">
        <f t="shared" si="116"/>
        <v/>
      </c>
      <c r="P527" s="12" t="str">
        <f t="shared" si="117"/>
        <v/>
      </c>
      <c r="Q527" s="12" t="e">
        <f t="shared" si="120"/>
        <v>#VALUE!</v>
      </c>
      <c r="R527" s="39" t="str">
        <f t="shared" si="119"/>
        <v/>
      </c>
      <c r="V527" s="12" t="str">
        <f t="shared" si="108"/>
        <v/>
      </c>
      <c r="W527" s="22" t="str">
        <f t="shared" si="121"/>
        <v/>
      </c>
    </row>
    <row r="528" spans="7:23" x14ac:dyDescent="0.25">
      <c r="G528" s="12" t="str">
        <f t="shared" si="118"/>
        <v/>
      </c>
      <c r="H528" s="12" t="str">
        <f t="shared" si="109"/>
        <v/>
      </c>
      <c r="I528" s="12" t="str">
        <f t="shared" si="110"/>
        <v/>
      </c>
      <c r="J528" s="12" t="str">
        <f t="shared" si="111"/>
        <v/>
      </c>
      <c r="K528" s="12" t="str">
        <f t="shared" si="112"/>
        <v/>
      </c>
      <c r="L528" s="12" t="str">
        <f t="shared" si="113"/>
        <v/>
      </c>
      <c r="M528" s="12" t="str">
        <f t="shared" si="114"/>
        <v/>
      </c>
      <c r="N528" s="12" t="str">
        <f t="shared" si="115"/>
        <v/>
      </c>
      <c r="O528" s="12" t="str">
        <f t="shared" si="116"/>
        <v/>
      </c>
      <c r="P528" s="12" t="str">
        <f t="shared" si="117"/>
        <v/>
      </c>
      <c r="Q528" s="12" t="e">
        <f t="shared" si="120"/>
        <v>#VALUE!</v>
      </c>
      <c r="R528" s="39" t="str">
        <f t="shared" si="119"/>
        <v/>
      </c>
      <c r="V528" s="12" t="str">
        <f t="shared" si="108"/>
        <v/>
      </c>
      <c r="W528" s="22" t="str">
        <f t="shared" si="121"/>
        <v/>
      </c>
    </row>
    <row r="529" spans="7:23" x14ac:dyDescent="0.25">
      <c r="G529" s="12" t="str">
        <f t="shared" si="118"/>
        <v/>
      </c>
      <c r="H529" s="12" t="str">
        <f t="shared" si="109"/>
        <v/>
      </c>
      <c r="I529" s="12" t="str">
        <f t="shared" si="110"/>
        <v/>
      </c>
      <c r="J529" s="12" t="str">
        <f t="shared" si="111"/>
        <v/>
      </c>
      <c r="K529" s="12" t="str">
        <f t="shared" si="112"/>
        <v/>
      </c>
      <c r="L529" s="12" t="str">
        <f t="shared" si="113"/>
        <v/>
      </c>
      <c r="M529" s="12" t="str">
        <f t="shared" si="114"/>
        <v/>
      </c>
      <c r="N529" s="12" t="str">
        <f t="shared" si="115"/>
        <v/>
      </c>
      <c r="O529" s="12" t="str">
        <f t="shared" si="116"/>
        <v/>
      </c>
      <c r="P529" s="12" t="str">
        <f t="shared" si="117"/>
        <v/>
      </c>
      <c r="Q529" s="12" t="e">
        <f t="shared" si="120"/>
        <v>#VALUE!</v>
      </c>
      <c r="R529" s="39" t="str">
        <f t="shared" si="119"/>
        <v/>
      </c>
      <c r="V529" s="12" t="str">
        <f t="shared" ref="V529:V592" si="122">H529</f>
        <v/>
      </c>
      <c r="W529" s="22" t="str">
        <f t="shared" si="121"/>
        <v/>
      </c>
    </row>
    <row r="530" spans="7:23" x14ac:dyDescent="0.25">
      <c r="G530" s="12" t="str">
        <f t="shared" si="118"/>
        <v/>
      </c>
      <c r="H530" s="12" t="str">
        <f t="shared" ref="H530:H593" si="123">IFERROR(IF(E530=1,Q530,""),"")</f>
        <v/>
      </c>
      <c r="I530" s="12" t="str">
        <f t="shared" ref="I530:I593" si="124">IFERROR(IF(E530=2,Q530,""),"")</f>
        <v/>
      </c>
      <c r="J530" s="12" t="str">
        <f t="shared" ref="J530:J593" si="125">IFERROR(IF(E530=3,Q530,""),"")</f>
        <v/>
      </c>
      <c r="K530" s="12" t="str">
        <f t="shared" ref="K530:K593" si="126">IFERROR(IF(E530=4,Q530,""),"")</f>
        <v/>
      </c>
      <c r="L530" s="12" t="str">
        <f t="shared" ref="L530:L593" si="127">IFERROR(IF(E530=5,Q530,""),"")</f>
        <v/>
      </c>
      <c r="M530" s="12" t="str">
        <f t="shared" ref="M530:M593" si="128">IFERROR(IF(E530=6,Q530,""),"")</f>
        <v/>
      </c>
      <c r="N530" s="12" t="str">
        <f t="shared" ref="N530:N593" si="129">IFERROR(IF(E530=7,Q530,""),"")</f>
        <v/>
      </c>
      <c r="O530" s="12" t="str">
        <f t="shared" ref="O530:O593" si="130">IFERROR(IF(E530=8,Q530,""),"")</f>
        <v/>
      </c>
      <c r="P530" s="12" t="str">
        <f t="shared" ref="P530:P593" si="131">IFERROR(IF(E530=9,Q530,""),"")</f>
        <v/>
      </c>
      <c r="Q530" s="12" t="e">
        <f t="shared" si="120"/>
        <v>#VALUE!</v>
      </c>
      <c r="R530" s="39" t="str">
        <f t="shared" si="119"/>
        <v/>
      </c>
      <c r="V530" s="12" t="str">
        <f t="shared" si="122"/>
        <v/>
      </c>
      <c r="W530" s="22" t="str">
        <f t="shared" si="121"/>
        <v/>
      </c>
    </row>
    <row r="531" spans="7:23" x14ac:dyDescent="0.25">
      <c r="G531" s="12" t="str">
        <f t="shared" si="118"/>
        <v/>
      </c>
      <c r="H531" s="12" t="str">
        <f t="shared" si="123"/>
        <v/>
      </c>
      <c r="I531" s="12" t="str">
        <f t="shared" si="124"/>
        <v/>
      </c>
      <c r="J531" s="12" t="str">
        <f t="shared" si="125"/>
        <v/>
      </c>
      <c r="K531" s="12" t="str">
        <f t="shared" si="126"/>
        <v/>
      </c>
      <c r="L531" s="12" t="str">
        <f t="shared" si="127"/>
        <v/>
      </c>
      <c r="M531" s="12" t="str">
        <f t="shared" si="128"/>
        <v/>
      </c>
      <c r="N531" s="12" t="str">
        <f t="shared" si="129"/>
        <v/>
      </c>
      <c r="O531" s="12" t="str">
        <f t="shared" si="130"/>
        <v/>
      </c>
      <c r="P531" s="12" t="str">
        <f t="shared" si="131"/>
        <v/>
      </c>
      <c r="Q531" s="12" t="e">
        <f t="shared" si="120"/>
        <v>#VALUE!</v>
      </c>
      <c r="R531" s="39" t="str">
        <f t="shared" si="119"/>
        <v/>
      </c>
      <c r="V531" s="12" t="str">
        <f t="shared" si="122"/>
        <v/>
      </c>
      <c r="W531" s="22" t="str">
        <f t="shared" si="121"/>
        <v/>
      </c>
    </row>
    <row r="532" spans="7:23" x14ac:dyDescent="0.25">
      <c r="G532" s="12" t="str">
        <f t="shared" si="118"/>
        <v/>
      </c>
      <c r="H532" s="12" t="str">
        <f t="shared" si="123"/>
        <v/>
      </c>
      <c r="I532" s="12" t="str">
        <f t="shared" si="124"/>
        <v/>
      </c>
      <c r="J532" s="12" t="str">
        <f t="shared" si="125"/>
        <v/>
      </c>
      <c r="K532" s="12" t="str">
        <f t="shared" si="126"/>
        <v/>
      </c>
      <c r="L532" s="12" t="str">
        <f t="shared" si="127"/>
        <v/>
      </c>
      <c r="M532" s="12" t="str">
        <f t="shared" si="128"/>
        <v/>
      </c>
      <c r="N532" s="12" t="str">
        <f t="shared" si="129"/>
        <v/>
      </c>
      <c r="O532" s="12" t="str">
        <f t="shared" si="130"/>
        <v/>
      </c>
      <c r="P532" s="12" t="str">
        <f t="shared" si="131"/>
        <v/>
      </c>
      <c r="Q532" s="12" t="e">
        <f t="shared" si="120"/>
        <v>#VALUE!</v>
      </c>
      <c r="R532" s="39" t="str">
        <f t="shared" si="119"/>
        <v/>
      </c>
      <c r="V532" s="12" t="str">
        <f t="shared" si="122"/>
        <v/>
      </c>
      <c r="W532" s="22" t="str">
        <f t="shared" si="121"/>
        <v/>
      </c>
    </row>
    <row r="533" spans="7:23" x14ac:dyDescent="0.25">
      <c r="G533" s="12" t="str">
        <f t="shared" si="118"/>
        <v/>
      </c>
      <c r="H533" s="12" t="str">
        <f t="shared" si="123"/>
        <v/>
      </c>
      <c r="I533" s="12" t="str">
        <f t="shared" si="124"/>
        <v/>
      </c>
      <c r="J533" s="12" t="str">
        <f t="shared" si="125"/>
        <v/>
      </c>
      <c r="K533" s="12" t="str">
        <f t="shared" si="126"/>
        <v/>
      </c>
      <c r="L533" s="12" t="str">
        <f t="shared" si="127"/>
        <v/>
      </c>
      <c r="M533" s="12" t="str">
        <f t="shared" si="128"/>
        <v/>
      </c>
      <c r="N533" s="12" t="str">
        <f t="shared" si="129"/>
        <v/>
      </c>
      <c r="O533" s="12" t="str">
        <f t="shared" si="130"/>
        <v/>
      </c>
      <c r="P533" s="12" t="str">
        <f t="shared" si="131"/>
        <v/>
      </c>
      <c r="Q533" s="12" t="e">
        <f t="shared" si="120"/>
        <v>#VALUE!</v>
      </c>
      <c r="R533" s="39" t="str">
        <f t="shared" si="119"/>
        <v/>
      </c>
      <c r="V533" s="12" t="str">
        <f t="shared" si="122"/>
        <v/>
      </c>
      <c r="W533" s="22" t="str">
        <f t="shared" si="121"/>
        <v/>
      </c>
    </row>
    <row r="534" spans="7:23" x14ac:dyDescent="0.25">
      <c r="G534" s="12" t="str">
        <f t="shared" ref="G534:G597" si="132">IF(LEN(F534)=5,TIMEVALUE(LEFT(F534,1)&amp;":"&amp;MID(F534,2,2)&amp;":"&amp;RIGHT(F534,2)),IF(LEN(F534)=6,TIMEVALUE(LEFT(F534,2)&amp;":"&amp;MID(F534,3,2)&amp;":"&amp;RIGHT(F534,2)),""))</f>
        <v/>
      </c>
      <c r="H534" s="12" t="str">
        <f t="shared" si="123"/>
        <v/>
      </c>
      <c r="I534" s="12" t="str">
        <f t="shared" si="124"/>
        <v/>
      </c>
      <c r="J534" s="12" t="str">
        <f t="shared" si="125"/>
        <v/>
      </c>
      <c r="K534" s="12" t="str">
        <f t="shared" si="126"/>
        <v/>
      </c>
      <c r="L534" s="12" t="str">
        <f t="shared" si="127"/>
        <v/>
      </c>
      <c r="M534" s="12" t="str">
        <f t="shared" si="128"/>
        <v/>
      </c>
      <c r="N534" s="12" t="str">
        <f t="shared" si="129"/>
        <v/>
      </c>
      <c r="O534" s="12" t="str">
        <f t="shared" si="130"/>
        <v/>
      </c>
      <c r="P534" s="12" t="str">
        <f t="shared" si="131"/>
        <v/>
      </c>
      <c r="Q534" s="12" t="e">
        <f t="shared" si="120"/>
        <v>#VALUE!</v>
      </c>
      <c r="R534" s="39" t="str">
        <f t="shared" ref="R534:R597" si="133">IF(H534="","",HOUR(H534)*60+MINUTE(H534)+SECOND(H534)/60)</f>
        <v/>
      </c>
      <c r="V534" s="12" t="str">
        <f t="shared" si="122"/>
        <v/>
      </c>
      <c r="W534" s="22" t="str">
        <f t="shared" si="121"/>
        <v/>
      </c>
    </row>
    <row r="535" spans="7:23" x14ac:dyDescent="0.25">
      <c r="G535" s="12" t="str">
        <f t="shared" si="132"/>
        <v/>
      </c>
      <c r="H535" s="12" t="str">
        <f t="shared" si="123"/>
        <v/>
      </c>
      <c r="I535" s="12" t="str">
        <f t="shared" si="124"/>
        <v/>
      </c>
      <c r="J535" s="12" t="str">
        <f t="shared" si="125"/>
        <v/>
      </c>
      <c r="K535" s="12" t="str">
        <f t="shared" si="126"/>
        <v/>
      </c>
      <c r="L535" s="12" t="str">
        <f t="shared" si="127"/>
        <v/>
      </c>
      <c r="M535" s="12" t="str">
        <f t="shared" si="128"/>
        <v/>
      </c>
      <c r="N535" s="12" t="str">
        <f t="shared" si="129"/>
        <v/>
      </c>
      <c r="O535" s="12" t="str">
        <f t="shared" si="130"/>
        <v/>
      </c>
      <c r="P535" s="12" t="str">
        <f t="shared" si="131"/>
        <v/>
      </c>
      <c r="Q535" s="12" t="e">
        <f t="shared" si="120"/>
        <v>#VALUE!</v>
      </c>
      <c r="R535" s="39" t="str">
        <f t="shared" si="133"/>
        <v/>
      </c>
      <c r="V535" s="12" t="str">
        <f t="shared" si="122"/>
        <v/>
      </c>
      <c r="W535" s="22" t="str">
        <f t="shared" si="121"/>
        <v/>
      </c>
    </row>
    <row r="536" spans="7:23" x14ac:dyDescent="0.25">
      <c r="G536" s="12" t="str">
        <f t="shared" si="132"/>
        <v/>
      </c>
      <c r="H536" s="12" t="str">
        <f t="shared" si="123"/>
        <v/>
      </c>
      <c r="I536" s="12" t="str">
        <f t="shared" si="124"/>
        <v/>
      </c>
      <c r="J536" s="12" t="str">
        <f t="shared" si="125"/>
        <v/>
      </c>
      <c r="K536" s="12" t="str">
        <f t="shared" si="126"/>
        <v/>
      </c>
      <c r="L536" s="12" t="str">
        <f t="shared" si="127"/>
        <v/>
      </c>
      <c r="M536" s="12" t="str">
        <f t="shared" si="128"/>
        <v/>
      </c>
      <c r="N536" s="12" t="str">
        <f t="shared" si="129"/>
        <v/>
      </c>
      <c r="O536" s="12" t="str">
        <f t="shared" si="130"/>
        <v/>
      </c>
      <c r="P536" s="12" t="str">
        <f t="shared" si="131"/>
        <v/>
      </c>
      <c r="Q536" s="12" t="e">
        <f t="shared" si="120"/>
        <v>#VALUE!</v>
      </c>
      <c r="R536" s="39" t="str">
        <f t="shared" si="133"/>
        <v/>
      </c>
      <c r="V536" s="12" t="str">
        <f t="shared" si="122"/>
        <v/>
      </c>
      <c r="W536" s="22" t="str">
        <f t="shared" si="121"/>
        <v/>
      </c>
    </row>
    <row r="537" spans="7:23" x14ac:dyDescent="0.25">
      <c r="G537" s="12" t="str">
        <f t="shared" si="132"/>
        <v/>
      </c>
      <c r="H537" s="12" t="str">
        <f t="shared" si="123"/>
        <v/>
      </c>
      <c r="I537" s="12" t="str">
        <f t="shared" si="124"/>
        <v/>
      </c>
      <c r="J537" s="12" t="str">
        <f t="shared" si="125"/>
        <v/>
      </c>
      <c r="K537" s="12" t="str">
        <f t="shared" si="126"/>
        <v/>
      </c>
      <c r="L537" s="12" t="str">
        <f t="shared" si="127"/>
        <v/>
      </c>
      <c r="M537" s="12" t="str">
        <f t="shared" si="128"/>
        <v/>
      </c>
      <c r="N537" s="12" t="str">
        <f t="shared" si="129"/>
        <v/>
      </c>
      <c r="O537" s="12" t="str">
        <f t="shared" si="130"/>
        <v/>
      </c>
      <c r="P537" s="12" t="str">
        <f t="shared" si="131"/>
        <v/>
      </c>
      <c r="Q537" s="12" t="e">
        <f t="shared" si="120"/>
        <v>#VALUE!</v>
      </c>
      <c r="R537" s="39" t="str">
        <f t="shared" si="133"/>
        <v/>
      </c>
      <c r="V537" s="12" t="str">
        <f t="shared" si="122"/>
        <v/>
      </c>
      <c r="W537" s="22" t="str">
        <f t="shared" si="121"/>
        <v/>
      </c>
    </row>
    <row r="538" spans="7:23" x14ac:dyDescent="0.25">
      <c r="G538" s="12" t="str">
        <f t="shared" si="132"/>
        <v/>
      </c>
      <c r="H538" s="12" t="str">
        <f t="shared" si="123"/>
        <v/>
      </c>
      <c r="I538" s="12" t="str">
        <f t="shared" si="124"/>
        <v/>
      </c>
      <c r="J538" s="12" t="str">
        <f t="shared" si="125"/>
        <v/>
      </c>
      <c r="K538" s="12" t="str">
        <f t="shared" si="126"/>
        <v/>
      </c>
      <c r="L538" s="12" t="str">
        <f t="shared" si="127"/>
        <v/>
      </c>
      <c r="M538" s="12" t="str">
        <f t="shared" si="128"/>
        <v/>
      </c>
      <c r="N538" s="12" t="str">
        <f t="shared" si="129"/>
        <v/>
      </c>
      <c r="O538" s="12" t="str">
        <f t="shared" si="130"/>
        <v/>
      </c>
      <c r="P538" s="12" t="str">
        <f t="shared" si="131"/>
        <v/>
      </c>
      <c r="Q538" s="12" t="e">
        <f t="shared" si="120"/>
        <v>#VALUE!</v>
      </c>
      <c r="R538" s="39" t="str">
        <f t="shared" si="133"/>
        <v/>
      </c>
      <c r="V538" s="12" t="str">
        <f t="shared" si="122"/>
        <v/>
      </c>
      <c r="W538" s="22" t="str">
        <f t="shared" si="121"/>
        <v/>
      </c>
    </row>
    <row r="539" spans="7:23" x14ac:dyDescent="0.25">
      <c r="G539" s="12" t="str">
        <f t="shared" si="132"/>
        <v/>
      </c>
      <c r="H539" s="12" t="str">
        <f t="shared" si="123"/>
        <v/>
      </c>
      <c r="I539" s="12" t="str">
        <f t="shared" si="124"/>
        <v/>
      </c>
      <c r="J539" s="12" t="str">
        <f t="shared" si="125"/>
        <v/>
      </c>
      <c r="K539" s="12" t="str">
        <f t="shared" si="126"/>
        <v/>
      </c>
      <c r="L539" s="12" t="str">
        <f t="shared" si="127"/>
        <v/>
      </c>
      <c r="M539" s="12" t="str">
        <f t="shared" si="128"/>
        <v/>
      </c>
      <c r="N539" s="12" t="str">
        <f t="shared" si="129"/>
        <v/>
      </c>
      <c r="O539" s="12" t="str">
        <f t="shared" si="130"/>
        <v/>
      </c>
      <c r="P539" s="12" t="str">
        <f t="shared" si="131"/>
        <v/>
      </c>
      <c r="Q539" s="12" t="e">
        <f t="shared" si="120"/>
        <v>#VALUE!</v>
      </c>
      <c r="R539" s="39" t="str">
        <f t="shared" si="133"/>
        <v/>
      </c>
      <c r="V539" s="12" t="str">
        <f t="shared" si="122"/>
        <v/>
      </c>
      <c r="W539" s="22" t="str">
        <f t="shared" si="121"/>
        <v/>
      </c>
    </row>
    <row r="540" spans="7:23" x14ac:dyDescent="0.25">
      <c r="G540" s="12" t="str">
        <f t="shared" si="132"/>
        <v/>
      </c>
      <c r="H540" s="12" t="str">
        <f t="shared" si="123"/>
        <v/>
      </c>
      <c r="I540" s="12" t="str">
        <f t="shared" si="124"/>
        <v/>
      </c>
      <c r="J540" s="12" t="str">
        <f t="shared" si="125"/>
        <v/>
      </c>
      <c r="K540" s="12" t="str">
        <f t="shared" si="126"/>
        <v/>
      </c>
      <c r="L540" s="12" t="str">
        <f t="shared" si="127"/>
        <v/>
      </c>
      <c r="M540" s="12" t="str">
        <f t="shared" si="128"/>
        <v/>
      </c>
      <c r="N540" s="12" t="str">
        <f t="shared" si="129"/>
        <v/>
      </c>
      <c r="O540" s="12" t="str">
        <f t="shared" si="130"/>
        <v/>
      </c>
      <c r="P540" s="12" t="str">
        <f t="shared" si="131"/>
        <v/>
      </c>
      <c r="Q540" s="12" t="e">
        <f t="shared" si="120"/>
        <v>#VALUE!</v>
      </c>
      <c r="R540" s="39" t="str">
        <f t="shared" si="133"/>
        <v/>
      </c>
      <c r="V540" s="12" t="str">
        <f t="shared" si="122"/>
        <v/>
      </c>
      <c r="W540" s="22" t="str">
        <f t="shared" si="121"/>
        <v/>
      </c>
    </row>
    <row r="541" spans="7:23" x14ac:dyDescent="0.25">
      <c r="G541" s="12" t="str">
        <f t="shared" si="132"/>
        <v/>
      </c>
      <c r="H541" s="12" t="str">
        <f t="shared" si="123"/>
        <v/>
      </c>
      <c r="I541" s="12" t="str">
        <f t="shared" si="124"/>
        <v/>
      </c>
      <c r="J541" s="12" t="str">
        <f t="shared" si="125"/>
        <v/>
      </c>
      <c r="K541" s="12" t="str">
        <f t="shared" si="126"/>
        <v/>
      </c>
      <c r="L541" s="12" t="str">
        <f t="shared" si="127"/>
        <v/>
      </c>
      <c r="M541" s="12" t="str">
        <f t="shared" si="128"/>
        <v/>
      </c>
      <c r="N541" s="12" t="str">
        <f t="shared" si="129"/>
        <v/>
      </c>
      <c r="O541" s="12" t="str">
        <f t="shared" si="130"/>
        <v/>
      </c>
      <c r="P541" s="12" t="str">
        <f t="shared" si="131"/>
        <v/>
      </c>
      <c r="Q541" s="12" t="e">
        <f t="shared" si="120"/>
        <v>#VALUE!</v>
      </c>
      <c r="R541" s="39" t="str">
        <f t="shared" si="133"/>
        <v/>
      </c>
      <c r="V541" s="12" t="str">
        <f t="shared" si="122"/>
        <v/>
      </c>
      <c r="W541" s="22" t="str">
        <f t="shared" si="121"/>
        <v/>
      </c>
    </row>
    <row r="542" spans="7:23" x14ac:dyDescent="0.25">
      <c r="G542" s="12" t="str">
        <f t="shared" si="132"/>
        <v/>
      </c>
      <c r="H542" s="12" t="str">
        <f t="shared" si="123"/>
        <v/>
      </c>
      <c r="I542" s="12" t="str">
        <f t="shared" si="124"/>
        <v/>
      </c>
      <c r="J542" s="12" t="str">
        <f t="shared" si="125"/>
        <v/>
      </c>
      <c r="K542" s="12" t="str">
        <f t="shared" si="126"/>
        <v/>
      </c>
      <c r="L542" s="12" t="str">
        <f t="shared" si="127"/>
        <v/>
      </c>
      <c r="M542" s="12" t="str">
        <f t="shared" si="128"/>
        <v/>
      </c>
      <c r="N542" s="12" t="str">
        <f t="shared" si="129"/>
        <v/>
      </c>
      <c r="O542" s="12" t="str">
        <f t="shared" si="130"/>
        <v/>
      </c>
      <c r="P542" s="12" t="str">
        <f t="shared" si="131"/>
        <v/>
      </c>
      <c r="Q542" s="12" t="e">
        <f t="shared" si="120"/>
        <v>#VALUE!</v>
      </c>
      <c r="R542" s="39" t="str">
        <f t="shared" si="133"/>
        <v/>
      </c>
      <c r="V542" s="12" t="str">
        <f t="shared" si="122"/>
        <v/>
      </c>
      <c r="W542" s="22" t="str">
        <f t="shared" si="121"/>
        <v/>
      </c>
    </row>
    <row r="543" spans="7:23" x14ac:dyDescent="0.25">
      <c r="G543" s="12" t="str">
        <f t="shared" si="132"/>
        <v/>
      </c>
      <c r="H543" s="12" t="str">
        <f t="shared" si="123"/>
        <v/>
      </c>
      <c r="I543" s="12" t="str">
        <f t="shared" si="124"/>
        <v/>
      </c>
      <c r="J543" s="12" t="str">
        <f t="shared" si="125"/>
        <v/>
      </c>
      <c r="K543" s="12" t="str">
        <f t="shared" si="126"/>
        <v/>
      </c>
      <c r="L543" s="12" t="str">
        <f t="shared" si="127"/>
        <v/>
      </c>
      <c r="M543" s="12" t="str">
        <f t="shared" si="128"/>
        <v/>
      </c>
      <c r="N543" s="12" t="str">
        <f t="shared" si="129"/>
        <v/>
      </c>
      <c r="O543" s="12" t="str">
        <f t="shared" si="130"/>
        <v/>
      </c>
      <c r="P543" s="12" t="str">
        <f t="shared" si="131"/>
        <v/>
      </c>
      <c r="Q543" s="12" t="e">
        <f t="shared" si="120"/>
        <v>#VALUE!</v>
      </c>
      <c r="R543" s="39" t="str">
        <f t="shared" si="133"/>
        <v/>
      </c>
      <c r="V543" s="12" t="str">
        <f t="shared" si="122"/>
        <v/>
      </c>
      <c r="W543" s="22" t="str">
        <f t="shared" si="121"/>
        <v/>
      </c>
    </row>
    <row r="544" spans="7:23" x14ac:dyDescent="0.25">
      <c r="G544" s="12" t="str">
        <f t="shared" si="132"/>
        <v/>
      </c>
      <c r="H544" s="12" t="str">
        <f t="shared" si="123"/>
        <v/>
      </c>
      <c r="I544" s="12" t="str">
        <f t="shared" si="124"/>
        <v/>
      </c>
      <c r="J544" s="12" t="str">
        <f t="shared" si="125"/>
        <v/>
      </c>
      <c r="K544" s="12" t="str">
        <f t="shared" si="126"/>
        <v/>
      </c>
      <c r="L544" s="12" t="str">
        <f t="shared" si="127"/>
        <v/>
      </c>
      <c r="M544" s="12" t="str">
        <f t="shared" si="128"/>
        <v/>
      </c>
      <c r="N544" s="12" t="str">
        <f t="shared" si="129"/>
        <v/>
      </c>
      <c r="O544" s="12" t="str">
        <f t="shared" si="130"/>
        <v/>
      </c>
      <c r="P544" s="12" t="str">
        <f t="shared" si="131"/>
        <v/>
      </c>
      <c r="Q544" s="12" t="e">
        <f t="shared" si="120"/>
        <v>#VALUE!</v>
      </c>
      <c r="R544" s="39" t="str">
        <f t="shared" si="133"/>
        <v/>
      </c>
      <c r="V544" s="12" t="str">
        <f t="shared" si="122"/>
        <v/>
      </c>
      <c r="W544" s="22" t="str">
        <f t="shared" si="121"/>
        <v/>
      </c>
    </row>
    <row r="545" spans="7:23" x14ac:dyDescent="0.25">
      <c r="G545" s="12" t="str">
        <f t="shared" si="132"/>
        <v/>
      </c>
      <c r="H545" s="12" t="str">
        <f t="shared" si="123"/>
        <v/>
      </c>
      <c r="I545" s="12" t="str">
        <f t="shared" si="124"/>
        <v/>
      </c>
      <c r="J545" s="12" t="str">
        <f t="shared" si="125"/>
        <v/>
      </c>
      <c r="K545" s="12" t="str">
        <f t="shared" si="126"/>
        <v/>
      </c>
      <c r="L545" s="12" t="str">
        <f t="shared" si="127"/>
        <v/>
      </c>
      <c r="M545" s="12" t="str">
        <f t="shared" si="128"/>
        <v/>
      </c>
      <c r="N545" s="12" t="str">
        <f t="shared" si="129"/>
        <v/>
      </c>
      <c r="O545" s="12" t="str">
        <f t="shared" si="130"/>
        <v/>
      </c>
      <c r="P545" s="12" t="str">
        <f t="shared" si="131"/>
        <v/>
      </c>
      <c r="Q545" s="12" t="e">
        <f t="shared" ref="Q545:Q608" si="134">G545-G544</f>
        <v>#VALUE!</v>
      </c>
      <c r="R545" s="39" t="str">
        <f t="shared" si="133"/>
        <v/>
      </c>
      <c r="V545" s="12" t="str">
        <f t="shared" si="122"/>
        <v/>
      </c>
      <c r="W545" s="22" t="str">
        <f t="shared" si="121"/>
        <v/>
      </c>
    </row>
    <row r="546" spans="7:23" x14ac:dyDescent="0.25">
      <c r="G546" s="12" t="str">
        <f t="shared" si="132"/>
        <v/>
      </c>
      <c r="H546" s="12" t="str">
        <f t="shared" si="123"/>
        <v/>
      </c>
      <c r="I546" s="12" t="str">
        <f t="shared" si="124"/>
        <v/>
      </c>
      <c r="J546" s="12" t="str">
        <f t="shared" si="125"/>
        <v/>
      </c>
      <c r="K546" s="12" t="str">
        <f t="shared" si="126"/>
        <v/>
      </c>
      <c r="L546" s="12" t="str">
        <f t="shared" si="127"/>
        <v/>
      </c>
      <c r="M546" s="12" t="str">
        <f t="shared" si="128"/>
        <v/>
      </c>
      <c r="N546" s="12" t="str">
        <f t="shared" si="129"/>
        <v/>
      </c>
      <c r="O546" s="12" t="str">
        <f t="shared" si="130"/>
        <v/>
      </c>
      <c r="P546" s="12" t="str">
        <f t="shared" si="131"/>
        <v/>
      </c>
      <c r="Q546" s="12" t="e">
        <f t="shared" si="134"/>
        <v>#VALUE!</v>
      </c>
      <c r="R546" s="39" t="str">
        <f t="shared" si="133"/>
        <v/>
      </c>
      <c r="V546" s="12" t="str">
        <f t="shared" si="122"/>
        <v/>
      </c>
      <c r="W546" s="22" t="str">
        <f t="shared" si="121"/>
        <v/>
      </c>
    </row>
    <row r="547" spans="7:23" x14ac:dyDescent="0.25">
      <c r="G547" s="12" t="str">
        <f t="shared" si="132"/>
        <v/>
      </c>
      <c r="H547" s="12" t="str">
        <f t="shared" si="123"/>
        <v/>
      </c>
      <c r="I547" s="12" t="str">
        <f t="shared" si="124"/>
        <v/>
      </c>
      <c r="J547" s="12" t="str">
        <f t="shared" si="125"/>
        <v/>
      </c>
      <c r="K547" s="12" t="str">
        <f t="shared" si="126"/>
        <v/>
      </c>
      <c r="L547" s="12" t="str">
        <f t="shared" si="127"/>
        <v/>
      </c>
      <c r="M547" s="12" t="str">
        <f t="shared" si="128"/>
        <v/>
      </c>
      <c r="N547" s="12" t="str">
        <f t="shared" si="129"/>
        <v/>
      </c>
      <c r="O547" s="12" t="str">
        <f t="shared" si="130"/>
        <v/>
      </c>
      <c r="P547" s="12" t="str">
        <f t="shared" si="131"/>
        <v/>
      </c>
      <c r="Q547" s="12" t="e">
        <f t="shared" si="134"/>
        <v>#VALUE!</v>
      </c>
      <c r="R547" s="39" t="str">
        <f t="shared" si="133"/>
        <v/>
      </c>
      <c r="V547" s="12" t="str">
        <f t="shared" si="122"/>
        <v/>
      </c>
      <c r="W547" s="22" t="str">
        <f t="shared" si="121"/>
        <v/>
      </c>
    </row>
    <row r="548" spans="7:23" x14ac:dyDescent="0.25">
      <c r="G548" s="12" t="str">
        <f t="shared" si="132"/>
        <v/>
      </c>
      <c r="H548" s="12" t="str">
        <f t="shared" si="123"/>
        <v/>
      </c>
      <c r="I548" s="12" t="str">
        <f t="shared" si="124"/>
        <v/>
      </c>
      <c r="J548" s="12" t="str">
        <f t="shared" si="125"/>
        <v/>
      </c>
      <c r="K548" s="12" t="str">
        <f t="shared" si="126"/>
        <v/>
      </c>
      <c r="L548" s="12" t="str">
        <f t="shared" si="127"/>
        <v/>
      </c>
      <c r="M548" s="12" t="str">
        <f t="shared" si="128"/>
        <v/>
      </c>
      <c r="N548" s="12" t="str">
        <f t="shared" si="129"/>
        <v/>
      </c>
      <c r="O548" s="12" t="str">
        <f t="shared" si="130"/>
        <v/>
      </c>
      <c r="P548" s="12" t="str">
        <f t="shared" si="131"/>
        <v/>
      </c>
      <c r="Q548" s="12" t="e">
        <f t="shared" si="134"/>
        <v>#VALUE!</v>
      </c>
      <c r="R548" s="39" t="str">
        <f t="shared" si="133"/>
        <v/>
      </c>
      <c r="V548" s="12" t="str">
        <f t="shared" si="122"/>
        <v/>
      </c>
      <c r="W548" s="22" t="str">
        <f t="shared" si="121"/>
        <v/>
      </c>
    </row>
    <row r="549" spans="7:23" x14ac:dyDescent="0.25">
      <c r="G549" s="12" t="str">
        <f t="shared" si="132"/>
        <v/>
      </c>
      <c r="H549" s="12" t="str">
        <f t="shared" si="123"/>
        <v/>
      </c>
      <c r="I549" s="12" t="str">
        <f t="shared" si="124"/>
        <v/>
      </c>
      <c r="J549" s="12" t="str">
        <f t="shared" si="125"/>
        <v/>
      </c>
      <c r="K549" s="12" t="str">
        <f t="shared" si="126"/>
        <v/>
      </c>
      <c r="L549" s="12" t="str">
        <f t="shared" si="127"/>
        <v/>
      </c>
      <c r="M549" s="12" t="str">
        <f t="shared" si="128"/>
        <v/>
      </c>
      <c r="N549" s="12" t="str">
        <f t="shared" si="129"/>
        <v/>
      </c>
      <c r="O549" s="12" t="str">
        <f t="shared" si="130"/>
        <v/>
      </c>
      <c r="P549" s="12" t="str">
        <f t="shared" si="131"/>
        <v/>
      </c>
      <c r="Q549" s="12" t="e">
        <f t="shared" si="134"/>
        <v>#VALUE!</v>
      </c>
      <c r="R549" s="39" t="str">
        <f t="shared" si="133"/>
        <v/>
      </c>
      <c r="V549" s="12" t="str">
        <f t="shared" si="122"/>
        <v/>
      </c>
      <c r="W549" s="22" t="str">
        <f t="shared" si="121"/>
        <v/>
      </c>
    </row>
    <row r="550" spans="7:23" x14ac:dyDescent="0.25">
      <c r="G550" s="12" t="str">
        <f t="shared" si="132"/>
        <v/>
      </c>
      <c r="H550" s="12" t="str">
        <f t="shared" si="123"/>
        <v/>
      </c>
      <c r="I550" s="12" t="str">
        <f t="shared" si="124"/>
        <v/>
      </c>
      <c r="J550" s="12" t="str">
        <f t="shared" si="125"/>
        <v/>
      </c>
      <c r="K550" s="12" t="str">
        <f t="shared" si="126"/>
        <v/>
      </c>
      <c r="L550" s="12" t="str">
        <f t="shared" si="127"/>
        <v/>
      </c>
      <c r="M550" s="12" t="str">
        <f t="shared" si="128"/>
        <v/>
      </c>
      <c r="N550" s="12" t="str">
        <f t="shared" si="129"/>
        <v/>
      </c>
      <c r="O550" s="12" t="str">
        <f t="shared" si="130"/>
        <v/>
      </c>
      <c r="P550" s="12" t="str">
        <f t="shared" si="131"/>
        <v/>
      </c>
      <c r="Q550" s="12" t="e">
        <f t="shared" si="134"/>
        <v>#VALUE!</v>
      </c>
      <c r="R550" s="39" t="str">
        <f t="shared" si="133"/>
        <v/>
      </c>
      <c r="V550" s="12" t="str">
        <f t="shared" si="122"/>
        <v/>
      </c>
      <c r="W550" s="22" t="str">
        <f t="shared" si="121"/>
        <v/>
      </c>
    </row>
    <row r="551" spans="7:23" x14ac:dyDescent="0.25">
      <c r="G551" s="12" t="str">
        <f t="shared" si="132"/>
        <v/>
      </c>
      <c r="H551" s="12" t="str">
        <f t="shared" si="123"/>
        <v/>
      </c>
      <c r="I551" s="12" t="str">
        <f t="shared" si="124"/>
        <v/>
      </c>
      <c r="J551" s="12" t="str">
        <f t="shared" si="125"/>
        <v/>
      </c>
      <c r="K551" s="12" t="str">
        <f t="shared" si="126"/>
        <v/>
      </c>
      <c r="L551" s="12" t="str">
        <f t="shared" si="127"/>
        <v/>
      </c>
      <c r="M551" s="12" t="str">
        <f t="shared" si="128"/>
        <v/>
      </c>
      <c r="N551" s="12" t="str">
        <f t="shared" si="129"/>
        <v/>
      </c>
      <c r="O551" s="12" t="str">
        <f t="shared" si="130"/>
        <v/>
      </c>
      <c r="P551" s="12" t="str">
        <f t="shared" si="131"/>
        <v/>
      </c>
      <c r="Q551" s="12" t="e">
        <f t="shared" si="134"/>
        <v>#VALUE!</v>
      </c>
      <c r="R551" s="39" t="str">
        <f t="shared" si="133"/>
        <v/>
      </c>
      <c r="V551" s="12" t="str">
        <f t="shared" si="122"/>
        <v/>
      </c>
      <c r="W551" s="22" t="str">
        <f t="shared" si="121"/>
        <v/>
      </c>
    </row>
    <row r="552" spans="7:23" x14ac:dyDescent="0.25">
      <c r="G552" s="12" t="str">
        <f t="shared" si="132"/>
        <v/>
      </c>
      <c r="H552" s="12" t="str">
        <f t="shared" si="123"/>
        <v/>
      </c>
      <c r="I552" s="12" t="str">
        <f t="shared" si="124"/>
        <v/>
      </c>
      <c r="J552" s="12" t="str">
        <f t="shared" si="125"/>
        <v/>
      </c>
      <c r="K552" s="12" t="str">
        <f t="shared" si="126"/>
        <v/>
      </c>
      <c r="L552" s="12" t="str">
        <f t="shared" si="127"/>
        <v/>
      </c>
      <c r="M552" s="12" t="str">
        <f t="shared" si="128"/>
        <v/>
      </c>
      <c r="N552" s="12" t="str">
        <f t="shared" si="129"/>
        <v/>
      </c>
      <c r="O552" s="12" t="str">
        <f t="shared" si="130"/>
        <v/>
      </c>
      <c r="P552" s="12" t="str">
        <f t="shared" si="131"/>
        <v/>
      </c>
      <c r="Q552" s="12" t="e">
        <f t="shared" si="134"/>
        <v>#VALUE!</v>
      </c>
      <c r="R552" s="39" t="str">
        <f t="shared" si="133"/>
        <v/>
      </c>
      <c r="V552" s="12" t="str">
        <f t="shared" si="122"/>
        <v/>
      </c>
      <c r="W552" s="22" t="str">
        <f t="shared" si="121"/>
        <v/>
      </c>
    </row>
    <row r="553" spans="7:23" x14ac:dyDescent="0.25">
      <c r="G553" s="12" t="str">
        <f t="shared" si="132"/>
        <v/>
      </c>
      <c r="H553" s="12" t="str">
        <f t="shared" si="123"/>
        <v/>
      </c>
      <c r="I553" s="12" t="str">
        <f t="shared" si="124"/>
        <v/>
      </c>
      <c r="J553" s="12" t="str">
        <f t="shared" si="125"/>
        <v/>
      </c>
      <c r="K553" s="12" t="str">
        <f t="shared" si="126"/>
        <v/>
      </c>
      <c r="L553" s="12" t="str">
        <f t="shared" si="127"/>
        <v/>
      </c>
      <c r="M553" s="12" t="str">
        <f t="shared" si="128"/>
        <v/>
      </c>
      <c r="N553" s="12" t="str">
        <f t="shared" si="129"/>
        <v/>
      </c>
      <c r="O553" s="12" t="str">
        <f t="shared" si="130"/>
        <v/>
      </c>
      <c r="P553" s="12" t="str">
        <f t="shared" si="131"/>
        <v/>
      </c>
      <c r="Q553" s="12" t="e">
        <f t="shared" si="134"/>
        <v>#VALUE!</v>
      </c>
      <c r="R553" s="39" t="str">
        <f t="shared" si="133"/>
        <v/>
      </c>
      <c r="V553" s="12" t="str">
        <f t="shared" si="122"/>
        <v/>
      </c>
      <c r="W553" s="22" t="str">
        <f t="shared" si="121"/>
        <v/>
      </c>
    </row>
    <row r="554" spans="7:23" x14ac:dyDescent="0.25">
      <c r="G554" s="12" t="str">
        <f t="shared" si="132"/>
        <v/>
      </c>
      <c r="H554" s="12" t="str">
        <f t="shared" si="123"/>
        <v/>
      </c>
      <c r="I554" s="12" t="str">
        <f t="shared" si="124"/>
        <v/>
      </c>
      <c r="J554" s="12" t="str">
        <f t="shared" si="125"/>
        <v/>
      </c>
      <c r="K554" s="12" t="str">
        <f t="shared" si="126"/>
        <v/>
      </c>
      <c r="L554" s="12" t="str">
        <f t="shared" si="127"/>
        <v/>
      </c>
      <c r="M554" s="12" t="str">
        <f t="shared" si="128"/>
        <v/>
      </c>
      <c r="N554" s="12" t="str">
        <f t="shared" si="129"/>
        <v/>
      </c>
      <c r="O554" s="12" t="str">
        <f t="shared" si="130"/>
        <v/>
      </c>
      <c r="P554" s="12" t="str">
        <f t="shared" si="131"/>
        <v/>
      </c>
      <c r="Q554" s="12" t="e">
        <f t="shared" si="134"/>
        <v>#VALUE!</v>
      </c>
      <c r="R554" s="39" t="str">
        <f t="shared" si="133"/>
        <v/>
      </c>
      <c r="V554" s="12" t="str">
        <f t="shared" si="122"/>
        <v/>
      </c>
      <c r="W554" s="22" t="str">
        <f t="shared" si="121"/>
        <v/>
      </c>
    </row>
    <row r="555" spans="7:23" x14ac:dyDescent="0.25">
      <c r="G555" s="12" t="str">
        <f t="shared" si="132"/>
        <v/>
      </c>
      <c r="H555" s="12" t="str">
        <f t="shared" si="123"/>
        <v/>
      </c>
      <c r="I555" s="12" t="str">
        <f t="shared" si="124"/>
        <v/>
      </c>
      <c r="J555" s="12" t="str">
        <f t="shared" si="125"/>
        <v/>
      </c>
      <c r="K555" s="12" t="str">
        <f t="shared" si="126"/>
        <v/>
      </c>
      <c r="L555" s="12" t="str">
        <f t="shared" si="127"/>
        <v/>
      </c>
      <c r="M555" s="12" t="str">
        <f t="shared" si="128"/>
        <v/>
      </c>
      <c r="N555" s="12" t="str">
        <f t="shared" si="129"/>
        <v/>
      </c>
      <c r="O555" s="12" t="str">
        <f t="shared" si="130"/>
        <v/>
      </c>
      <c r="P555" s="12" t="str">
        <f t="shared" si="131"/>
        <v/>
      </c>
      <c r="Q555" s="12" t="e">
        <f t="shared" si="134"/>
        <v>#VALUE!</v>
      </c>
      <c r="R555" s="39" t="str">
        <f t="shared" si="133"/>
        <v/>
      </c>
      <c r="V555" s="12" t="str">
        <f t="shared" si="122"/>
        <v/>
      </c>
      <c r="W555" s="22" t="str">
        <f t="shared" si="121"/>
        <v/>
      </c>
    </row>
    <row r="556" spans="7:23" x14ac:dyDescent="0.25">
      <c r="G556" s="12" t="str">
        <f t="shared" si="132"/>
        <v/>
      </c>
      <c r="H556" s="12" t="str">
        <f t="shared" si="123"/>
        <v/>
      </c>
      <c r="I556" s="12" t="str">
        <f t="shared" si="124"/>
        <v/>
      </c>
      <c r="J556" s="12" t="str">
        <f t="shared" si="125"/>
        <v/>
      </c>
      <c r="K556" s="12" t="str">
        <f t="shared" si="126"/>
        <v/>
      </c>
      <c r="L556" s="12" t="str">
        <f t="shared" si="127"/>
        <v/>
      </c>
      <c r="M556" s="12" t="str">
        <f t="shared" si="128"/>
        <v/>
      </c>
      <c r="N556" s="12" t="str">
        <f t="shared" si="129"/>
        <v/>
      </c>
      <c r="O556" s="12" t="str">
        <f t="shared" si="130"/>
        <v/>
      </c>
      <c r="P556" s="12" t="str">
        <f t="shared" si="131"/>
        <v/>
      </c>
      <c r="Q556" s="12" t="e">
        <f t="shared" si="134"/>
        <v>#VALUE!</v>
      </c>
      <c r="R556" s="39" t="str">
        <f t="shared" si="133"/>
        <v/>
      </c>
      <c r="V556" s="12" t="str">
        <f t="shared" si="122"/>
        <v/>
      </c>
      <c r="W556" s="22" t="str">
        <f t="shared" si="121"/>
        <v/>
      </c>
    </row>
    <row r="557" spans="7:23" x14ac:dyDescent="0.25">
      <c r="G557" s="12" t="str">
        <f t="shared" si="132"/>
        <v/>
      </c>
      <c r="H557" s="12" t="str">
        <f t="shared" si="123"/>
        <v/>
      </c>
      <c r="I557" s="12" t="str">
        <f t="shared" si="124"/>
        <v/>
      </c>
      <c r="J557" s="12" t="str">
        <f t="shared" si="125"/>
        <v/>
      </c>
      <c r="K557" s="12" t="str">
        <f t="shared" si="126"/>
        <v/>
      </c>
      <c r="L557" s="12" t="str">
        <f t="shared" si="127"/>
        <v/>
      </c>
      <c r="M557" s="12" t="str">
        <f t="shared" si="128"/>
        <v/>
      </c>
      <c r="N557" s="12" t="str">
        <f t="shared" si="129"/>
        <v/>
      </c>
      <c r="O557" s="12" t="str">
        <f t="shared" si="130"/>
        <v/>
      </c>
      <c r="P557" s="12" t="str">
        <f t="shared" si="131"/>
        <v/>
      </c>
      <c r="Q557" s="12" t="e">
        <f t="shared" si="134"/>
        <v>#VALUE!</v>
      </c>
      <c r="R557" s="39" t="str">
        <f t="shared" si="133"/>
        <v/>
      </c>
      <c r="V557" s="12" t="str">
        <f t="shared" si="122"/>
        <v/>
      </c>
      <c r="W557" s="22" t="str">
        <f t="shared" si="121"/>
        <v/>
      </c>
    </row>
    <row r="558" spans="7:23" x14ac:dyDescent="0.25">
      <c r="G558" s="12" t="str">
        <f t="shared" si="132"/>
        <v/>
      </c>
      <c r="H558" s="12" t="str">
        <f t="shared" si="123"/>
        <v/>
      </c>
      <c r="I558" s="12" t="str">
        <f t="shared" si="124"/>
        <v/>
      </c>
      <c r="J558" s="12" t="str">
        <f t="shared" si="125"/>
        <v/>
      </c>
      <c r="K558" s="12" t="str">
        <f t="shared" si="126"/>
        <v/>
      </c>
      <c r="L558" s="12" t="str">
        <f t="shared" si="127"/>
        <v/>
      </c>
      <c r="M558" s="12" t="str">
        <f t="shared" si="128"/>
        <v/>
      </c>
      <c r="N558" s="12" t="str">
        <f t="shared" si="129"/>
        <v/>
      </c>
      <c r="O558" s="12" t="str">
        <f t="shared" si="130"/>
        <v/>
      </c>
      <c r="P558" s="12" t="str">
        <f t="shared" si="131"/>
        <v/>
      </c>
      <c r="Q558" s="12" t="e">
        <f t="shared" si="134"/>
        <v>#VALUE!</v>
      </c>
      <c r="R558" s="39" t="str">
        <f t="shared" si="133"/>
        <v/>
      </c>
      <c r="V558" s="12" t="str">
        <f t="shared" si="122"/>
        <v/>
      </c>
      <c r="W558" s="22" t="str">
        <f t="shared" si="121"/>
        <v/>
      </c>
    </row>
    <row r="559" spans="7:23" x14ac:dyDescent="0.25">
      <c r="G559" s="12" t="str">
        <f t="shared" si="132"/>
        <v/>
      </c>
      <c r="H559" s="12" t="str">
        <f t="shared" si="123"/>
        <v/>
      </c>
      <c r="I559" s="12" t="str">
        <f t="shared" si="124"/>
        <v/>
      </c>
      <c r="J559" s="12" t="str">
        <f t="shared" si="125"/>
        <v/>
      </c>
      <c r="K559" s="12" t="str">
        <f t="shared" si="126"/>
        <v/>
      </c>
      <c r="L559" s="12" t="str">
        <f t="shared" si="127"/>
        <v/>
      </c>
      <c r="M559" s="12" t="str">
        <f t="shared" si="128"/>
        <v/>
      </c>
      <c r="N559" s="12" t="str">
        <f t="shared" si="129"/>
        <v/>
      </c>
      <c r="O559" s="12" t="str">
        <f t="shared" si="130"/>
        <v/>
      </c>
      <c r="P559" s="12" t="str">
        <f t="shared" si="131"/>
        <v/>
      </c>
      <c r="Q559" s="12" t="e">
        <f t="shared" si="134"/>
        <v>#VALUE!</v>
      </c>
      <c r="R559" s="39" t="str">
        <f t="shared" si="133"/>
        <v/>
      </c>
      <c r="V559" s="12" t="str">
        <f t="shared" si="122"/>
        <v/>
      </c>
      <c r="W559" s="22" t="str">
        <f t="shared" si="121"/>
        <v/>
      </c>
    </row>
    <row r="560" spans="7:23" x14ac:dyDescent="0.25">
      <c r="G560" s="12" t="str">
        <f t="shared" si="132"/>
        <v/>
      </c>
      <c r="H560" s="12" t="str">
        <f t="shared" si="123"/>
        <v/>
      </c>
      <c r="I560" s="12" t="str">
        <f t="shared" si="124"/>
        <v/>
      </c>
      <c r="J560" s="12" t="str">
        <f t="shared" si="125"/>
        <v/>
      </c>
      <c r="K560" s="12" t="str">
        <f t="shared" si="126"/>
        <v/>
      </c>
      <c r="L560" s="12" t="str">
        <f t="shared" si="127"/>
        <v/>
      </c>
      <c r="M560" s="12" t="str">
        <f t="shared" si="128"/>
        <v/>
      </c>
      <c r="N560" s="12" t="str">
        <f t="shared" si="129"/>
        <v/>
      </c>
      <c r="O560" s="12" t="str">
        <f t="shared" si="130"/>
        <v/>
      </c>
      <c r="P560" s="12" t="str">
        <f t="shared" si="131"/>
        <v/>
      </c>
      <c r="Q560" s="12" t="e">
        <f t="shared" si="134"/>
        <v>#VALUE!</v>
      </c>
      <c r="R560" s="39" t="str">
        <f t="shared" si="133"/>
        <v/>
      </c>
      <c r="V560" s="12" t="str">
        <f t="shared" si="122"/>
        <v/>
      </c>
      <c r="W560" s="22" t="str">
        <f t="shared" si="121"/>
        <v/>
      </c>
    </row>
    <row r="561" spans="7:23" x14ac:dyDescent="0.25">
      <c r="G561" s="12" t="str">
        <f t="shared" si="132"/>
        <v/>
      </c>
      <c r="H561" s="12" t="str">
        <f t="shared" si="123"/>
        <v/>
      </c>
      <c r="I561" s="12" t="str">
        <f t="shared" si="124"/>
        <v/>
      </c>
      <c r="J561" s="12" t="str">
        <f t="shared" si="125"/>
        <v/>
      </c>
      <c r="K561" s="12" t="str">
        <f t="shared" si="126"/>
        <v/>
      </c>
      <c r="L561" s="12" t="str">
        <f t="shared" si="127"/>
        <v/>
      </c>
      <c r="M561" s="12" t="str">
        <f t="shared" si="128"/>
        <v/>
      </c>
      <c r="N561" s="12" t="str">
        <f t="shared" si="129"/>
        <v/>
      </c>
      <c r="O561" s="12" t="str">
        <f t="shared" si="130"/>
        <v/>
      </c>
      <c r="P561" s="12" t="str">
        <f t="shared" si="131"/>
        <v/>
      </c>
      <c r="Q561" s="12" t="e">
        <f t="shared" si="134"/>
        <v>#VALUE!</v>
      </c>
      <c r="R561" s="39" t="str">
        <f t="shared" si="133"/>
        <v/>
      </c>
      <c r="V561" s="12" t="str">
        <f t="shared" si="122"/>
        <v/>
      </c>
      <c r="W561" s="22" t="str">
        <f t="shared" si="121"/>
        <v/>
      </c>
    </row>
    <row r="562" spans="7:23" x14ac:dyDescent="0.25">
      <c r="G562" s="12" t="str">
        <f t="shared" si="132"/>
        <v/>
      </c>
      <c r="H562" s="12" t="str">
        <f t="shared" si="123"/>
        <v/>
      </c>
      <c r="I562" s="12" t="str">
        <f t="shared" si="124"/>
        <v/>
      </c>
      <c r="J562" s="12" t="str">
        <f t="shared" si="125"/>
        <v/>
      </c>
      <c r="K562" s="12" t="str">
        <f t="shared" si="126"/>
        <v/>
      </c>
      <c r="L562" s="12" t="str">
        <f t="shared" si="127"/>
        <v/>
      </c>
      <c r="M562" s="12" t="str">
        <f t="shared" si="128"/>
        <v/>
      </c>
      <c r="N562" s="12" t="str">
        <f t="shared" si="129"/>
        <v/>
      </c>
      <c r="O562" s="12" t="str">
        <f t="shared" si="130"/>
        <v/>
      </c>
      <c r="P562" s="12" t="str">
        <f t="shared" si="131"/>
        <v/>
      </c>
      <c r="Q562" s="12" t="e">
        <f t="shared" si="134"/>
        <v>#VALUE!</v>
      </c>
      <c r="R562" s="39" t="str">
        <f t="shared" si="133"/>
        <v/>
      </c>
      <c r="V562" s="12" t="str">
        <f t="shared" si="122"/>
        <v/>
      </c>
      <c r="W562" s="22" t="str">
        <f t="shared" si="121"/>
        <v/>
      </c>
    </row>
    <row r="563" spans="7:23" x14ac:dyDescent="0.25">
      <c r="G563" s="12" t="str">
        <f t="shared" si="132"/>
        <v/>
      </c>
      <c r="H563" s="12" t="str">
        <f t="shared" si="123"/>
        <v/>
      </c>
      <c r="I563" s="12" t="str">
        <f t="shared" si="124"/>
        <v/>
      </c>
      <c r="J563" s="12" t="str">
        <f t="shared" si="125"/>
        <v/>
      </c>
      <c r="K563" s="12" t="str">
        <f t="shared" si="126"/>
        <v/>
      </c>
      <c r="L563" s="12" t="str">
        <f t="shared" si="127"/>
        <v/>
      </c>
      <c r="M563" s="12" t="str">
        <f t="shared" si="128"/>
        <v/>
      </c>
      <c r="N563" s="12" t="str">
        <f t="shared" si="129"/>
        <v/>
      </c>
      <c r="O563" s="12" t="str">
        <f t="shared" si="130"/>
        <v/>
      </c>
      <c r="P563" s="12" t="str">
        <f t="shared" si="131"/>
        <v/>
      </c>
      <c r="Q563" s="12" t="e">
        <f t="shared" si="134"/>
        <v>#VALUE!</v>
      </c>
      <c r="R563" s="39" t="str">
        <f t="shared" si="133"/>
        <v/>
      </c>
      <c r="V563" s="12" t="str">
        <f t="shared" si="122"/>
        <v/>
      </c>
      <c r="W563" s="22" t="str">
        <f t="shared" si="121"/>
        <v/>
      </c>
    </row>
    <row r="564" spans="7:23" x14ac:dyDescent="0.25">
      <c r="G564" s="12" t="str">
        <f t="shared" si="132"/>
        <v/>
      </c>
      <c r="H564" s="12" t="str">
        <f t="shared" si="123"/>
        <v/>
      </c>
      <c r="I564" s="12" t="str">
        <f t="shared" si="124"/>
        <v/>
      </c>
      <c r="J564" s="12" t="str">
        <f t="shared" si="125"/>
        <v/>
      </c>
      <c r="K564" s="12" t="str">
        <f t="shared" si="126"/>
        <v/>
      </c>
      <c r="L564" s="12" t="str">
        <f t="shared" si="127"/>
        <v/>
      </c>
      <c r="M564" s="12" t="str">
        <f t="shared" si="128"/>
        <v/>
      </c>
      <c r="N564" s="12" t="str">
        <f t="shared" si="129"/>
        <v/>
      </c>
      <c r="O564" s="12" t="str">
        <f t="shared" si="130"/>
        <v/>
      </c>
      <c r="P564" s="12" t="str">
        <f t="shared" si="131"/>
        <v/>
      </c>
      <c r="Q564" s="12" t="e">
        <f t="shared" si="134"/>
        <v>#VALUE!</v>
      </c>
      <c r="R564" s="39" t="str">
        <f t="shared" si="133"/>
        <v/>
      </c>
      <c r="V564" s="12" t="str">
        <f t="shared" si="122"/>
        <v/>
      </c>
      <c r="W564" s="22" t="str">
        <f t="shared" si="121"/>
        <v/>
      </c>
    </row>
    <row r="565" spans="7:23" x14ac:dyDescent="0.25">
      <c r="G565" s="12" t="str">
        <f t="shared" si="132"/>
        <v/>
      </c>
      <c r="H565" s="12" t="str">
        <f t="shared" si="123"/>
        <v/>
      </c>
      <c r="I565" s="12" t="str">
        <f t="shared" si="124"/>
        <v/>
      </c>
      <c r="J565" s="12" t="str">
        <f t="shared" si="125"/>
        <v/>
      </c>
      <c r="K565" s="12" t="str">
        <f t="shared" si="126"/>
        <v/>
      </c>
      <c r="L565" s="12" t="str">
        <f t="shared" si="127"/>
        <v/>
      </c>
      <c r="M565" s="12" t="str">
        <f t="shared" si="128"/>
        <v/>
      </c>
      <c r="N565" s="12" t="str">
        <f t="shared" si="129"/>
        <v/>
      </c>
      <c r="O565" s="12" t="str">
        <f t="shared" si="130"/>
        <v/>
      </c>
      <c r="P565" s="12" t="str">
        <f t="shared" si="131"/>
        <v/>
      </c>
      <c r="Q565" s="12" t="e">
        <f t="shared" si="134"/>
        <v>#VALUE!</v>
      </c>
      <c r="R565" s="39" t="str">
        <f t="shared" si="133"/>
        <v/>
      </c>
      <c r="V565" s="12" t="str">
        <f t="shared" si="122"/>
        <v/>
      </c>
      <c r="W565" s="22" t="str">
        <f t="shared" si="121"/>
        <v/>
      </c>
    </row>
    <row r="566" spans="7:23" x14ac:dyDescent="0.25">
      <c r="G566" s="12" t="str">
        <f t="shared" si="132"/>
        <v/>
      </c>
      <c r="H566" s="12" t="str">
        <f t="shared" si="123"/>
        <v/>
      </c>
      <c r="I566" s="12" t="str">
        <f t="shared" si="124"/>
        <v/>
      </c>
      <c r="J566" s="12" t="str">
        <f t="shared" si="125"/>
        <v/>
      </c>
      <c r="K566" s="12" t="str">
        <f t="shared" si="126"/>
        <v/>
      </c>
      <c r="L566" s="12" t="str">
        <f t="shared" si="127"/>
        <v/>
      </c>
      <c r="M566" s="12" t="str">
        <f t="shared" si="128"/>
        <v/>
      </c>
      <c r="N566" s="12" t="str">
        <f t="shared" si="129"/>
        <v/>
      </c>
      <c r="O566" s="12" t="str">
        <f t="shared" si="130"/>
        <v/>
      </c>
      <c r="P566" s="12" t="str">
        <f t="shared" si="131"/>
        <v/>
      </c>
      <c r="Q566" s="12" t="e">
        <f t="shared" si="134"/>
        <v>#VALUE!</v>
      </c>
      <c r="R566" s="39" t="str">
        <f t="shared" si="133"/>
        <v/>
      </c>
      <c r="V566" s="12" t="str">
        <f t="shared" si="122"/>
        <v/>
      </c>
      <c r="W566" s="22" t="str">
        <f t="shared" ref="W566:W629" si="135">_xlfn.IFS(V566="","",SECOND(V566)&lt;10,"",  (HOUR(V566)*3600+MINUTE(V566)*60+SECOND(V566))&gt;60,"", (HOUR(V566)*3600+MINUTE(V566)*60+SECOND(V566))&lt;60, HOUR(V566)*3600+MINUTE(V566)*60+SECOND(V566))</f>
        <v/>
      </c>
    </row>
    <row r="567" spans="7:23" x14ac:dyDescent="0.25">
      <c r="G567" s="12" t="str">
        <f t="shared" si="132"/>
        <v/>
      </c>
      <c r="H567" s="12" t="str">
        <f t="shared" si="123"/>
        <v/>
      </c>
      <c r="I567" s="12" t="str">
        <f t="shared" si="124"/>
        <v/>
      </c>
      <c r="J567" s="12" t="str">
        <f t="shared" si="125"/>
        <v/>
      </c>
      <c r="K567" s="12" t="str">
        <f t="shared" si="126"/>
        <v/>
      </c>
      <c r="L567" s="12" t="str">
        <f t="shared" si="127"/>
        <v/>
      </c>
      <c r="M567" s="12" t="str">
        <f t="shared" si="128"/>
        <v/>
      </c>
      <c r="N567" s="12" t="str">
        <f t="shared" si="129"/>
        <v/>
      </c>
      <c r="O567" s="12" t="str">
        <f t="shared" si="130"/>
        <v/>
      </c>
      <c r="P567" s="12" t="str">
        <f t="shared" si="131"/>
        <v/>
      </c>
      <c r="Q567" s="12" t="e">
        <f t="shared" si="134"/>
        <v>#VALUE!</v>
      </c>
      <c r="R567" s="39" t="str">
        <f t="shared" si="133"/>
        <v/>
      </c>
      <c r="V567" s="12" t="str">
        <f t="shared" si="122"/>
        <v/>
      </c>
      <c r="W567" s="22" t="str">
        <f t="shared" si="135"/>
        <v/>
      </c>
    </row>
    <row r="568" spans="7:23" x14ac:dyDescent="0.25">
      <c r="G568" s="12" t="str">
        <f t="shared" si="132"/>
        <v/>
      </c>
      <c r="H568" s="12" t="str">
        <f t="shared" si="123"/>
        <v/>
      </c>
      <c r="I568" s="12" t="str">
        <f t="shared" si="124"/>
        <v/>
      </c>
      <c r="J568" s="12" t="str">
        <f t="shared" si="125"/>
        <v/>
      </c>
      <c r="K568" s="12" t="str">
        <f t="shared" si="126"/>
        <v/>
      </c>
      <c r="L568" s="12" t="str">
        <f t="shared" si="127"/>
        <v/>
      </c>
      <c r="M568" s="12" t="str">
        <f t="shared" si="128"/>
        <v/>
      </c>
      <c r="N568" s="12" t="str">
        <f t="shared" si="129"/>
        <v/>
      </c>
      <c r="O568" s="12" t="str">
        <f t="shared" si="130"/>
        <v/>
      </c>
      <c r="P568" s="12" t="str">
        <f t="shared" si="131"/>
        <v/>
      </c>
      <c r="Q568" s="12" t="e">
        <f t="shared" si="134"/>
        <v>#VALUE!</v>
      </c>
      <c r="R568" s="39" t="str">
        <f t="shared" si="133"/>
        <v/>
      </c>
      <c r="V568" s="12" t="str">
        <f t="shared" si="122"/>
        <v/>
      </c>
      <c r="W568" s="22" t="str">
        <f t="shared" si="135"/>
        <v/>
      </c>
    </row>
    <row r="569" spans="7:23" x14ac:dyDescent="0.25">
      <c r="G569" s="12" t="str">
        <f t="shared" si="132"/>
        <v/>
      </c>
      <c r="H569" s="12" t="str">
        <f t="shared" si="123"/>
        <v/>
      </c>
      <c r="I569" s="12" t="str">
        <f t="shared" si="124"/>
        <v/>
      </c>
      <c r="J569" s="12" t="str">
        <f t="shared" si="125"/>
        <v/>
      </c>
      <c r="K569" s="12" t="str">
        <f t="shared" si="126"/>
        <v/>
      </c>
      <c r="L569" s="12" t="str">
        <f t="shared" si="127"/>
        <v/>
      </c>
      <c r="M569" s="12" t="str">
        <f t="shared" si="128"/>
        <v/>
      </c>
      <c r="N569" s="12" t="str">
        <f t="shared" si="129"/>
        <v/>
      </c>
      <c r="O569" s="12" t="str">
        <f t="shared" si="130"/>
        <v/>
      </c>
      <c r="P569" s="12" t="str">
        <f t="shared" si="131"/>
        <v/>
      </c>
      <c r="Q569" s="12" t="e">
        <f t="shared" si="134"/>
        <v>#VALUE!</v>
      </c>
      <c r="R569" s="39" t="str">
        <f t="shared" si="133"/>
        <v/>
      </c>
      <c r="V569" s="12" t="str">
        <f t="shared" si="122"/>
        <v/>
      </c>
      <c r="W569" s="22" t="str">
        <f t="shared" si="135"/>
        <v/>
      </c>
    </row>
    <row r="570" spans="7:23" x14ac:dyDescent="0.25">
      <c r="G570" s="12" t="str">
        <f t="shared" si="132"/>
        <v/>
      </c>
      <c r="H570" s="12" t="str">
        <f t="shared" si="123"/>
        <v/>
      </c>
      <c r="I570" s="12" t="str">
        <f t="shared" si="124"/>
        <v/>
      </c>
      <c r="J570" s="12" t="str">
        <f t="shared" si="125"/>
        <v/>
      </c>
      <c r="K570" s="12" t="str">
        <f t="shared" si="126"/>
        <v/>
      </c>
      <c r="L570" s="12" t="str">
        <f t="shared" si="127"/>
        <v/>
      </c>
      <c r="M570" s="12" t="str">
        <f t="shared" si="128"/>
        <v/>
      </c>
      <c r="N570" s="12" t="str">
        <f t="shared" si="129"/>
        <v/>
      </c>
      <c r="O570" s="12" t="str">
        <f t="shared" si="130"/>
        <v/>
      </c>
      <c r="P570" s="12" t="str">
        <f t="shared" si="131"/>
        <v/>
      </c>
      <c r="Q570" s="12" t="e">
        <f t="shared" si="134"/>
        <v>#VALUE!</v>
      </c>
      <c r="R570" s="39" t="str">
        <f t="shared" si="133"/>
        <v/>
      </c>
      <c r="V570" s="12" t="str">
        <f t="shared" si="122"/>
        <v/>
      </c>
      <c r="W570" s="22" t="str">
        <f t="shared" si="135"/>
        <v/>
      </c>
    </row>
    <row r="571" spans="7:23" x14ac:dyDescent="0.25">
      <c r="G571" s="12" t="str">
        <f t="shared" si="132"/>
        <v/>
      </c>
      <c r="H571" s="12" t="str">
        <f t="shared" si="123"/>
        <v/>
      </c>
      <c r="I571" s="12" t="str">
        <f t="shared" si="124"/>
        <v/>
      </c>
      <c r="J571" s="12" t="str">
        <f t="shared" si="125"/>
        <v/>
      </c>
      <c r="K571" s="12" t="str">
        <f t="shared" si="126"/>
        <v/>
      </c>
      <c r="L571" s="12" t="str">
        <f t="shared" si="127"/>
        <v/>
      </c>
      <c r="M571" s="12" t="str">
        <f t="shared" si="128"/>
        <v/>
      </c>
      <c r="N571" s="12" t="str">
        <f t="shared" si="129"/>
        <v/>
      </c>
      <c r="O571" s="12" t="str">
        <f t="shared" si="130"/>
        <v/>
      </c>
      <c r="P571" s="12" t="str">
        <f t="shared" si="131"/>
        <v/>
      </c>
      <c r="Q571" s="12" t="e">
        <f t="shared" si="134"/>
        <v>#VALUE!</v>
      </c>
      <c r="R571" s="39" t="str">
        <f t="shared" si="133"/>
        <v/>
      </c>
      <c r="V571" s="12" t="str">
        <f t="shared" si="122"/>
        <v/>
      </c>
      <c r="W571" s="22" t="str">
        <f t="shared" si="135"/>
        <v/>
      </c>
    </row>
    <row r="572" spans="7:23" x14ac:dyDescent="0.25">
      <c r="G572" s="12" t="str">
        <f t="shared" si="132"/>
        <v/>
      </c>
      <c r="H572" s="12" t="str">
        <f t="shared" si="123"/>
        <v/>
      </c>
      <c r="I572" s="12" t="str">
        <f t="shared" si="124"/>
        <v/>
      </c>
      <c r="J572" s="12" t="str">
        <f t="shared" si="125"/>
        <v/>
      </c>
      <c r="K572" s="12" t="str">
        <f t="shared" si="126"/>
        <v/>
      </c>
      <c r="L572" s="12" t="str">
        <f t="shared" si="127"/>
        <v/>
      </c>
      <c r="M572" s="12" t="str">
        <f t="shared" si="128"/>
        <v/>
      </c>
      <c r="N572" s="12" t="str">
        <f t="shared" si="129"/>
        <v/>
      </c>
      <c r="O572" s="12" t="str">
        <f t="shared" si="130"/>
        <v/>
      </c>
      <c r="P572" s="12" t="str">
        <f t="shared" si="131"/>
        <v/>
      </c>
      <c r="Q572" s="12" t="e">
        <f t="shared" si="134"/>
        <v>#VALUE!</v>
      </c>
      <c r="R572" s="39" t="str">
        <f t="shared" si="133"/>
        <v/>
      </c>
      <c r="V572" s="12" t="str">
        <f t="shared" si="122"/>
        <v/>
      </c>
      <c r="W572" s="22" t="str">
        <f t="shared" si="135"/>
        <v/>
      </c>
    </row>
    <row r="573" spans="7:23" x14ac:dyDescent="0.25">
      <c r="G573" s="12" t="str">
        <f t="shared" si="132"/>
        <v/>
      </c>
      <c r="H573" s="12" t="str">
        <f t="shared" si="123"/>
        <v/>
      </c>
      <c r="I573" s="12" t="str">
        <f t="shared" si="124"/>
        <v/>
      </c>
      <c r="J573" s="12" t="str">
        <f t="shared" si="125"/>
        <v/>
      </c>
      <c r="K573" s="12" t="str">
        <f t="shared" si="126"/>
        <v/>
      </c>
      <c r="L573" s="12" t="str">
        <f t="shared" si="127"/>
        <v/>
      </c>
      <c r="M573" s="12" t="str">
        <f t="shared" si="128"/>
        <v/>
      </c>
      <c r="N573" s="12" t="str">
        <f t="shared" si="129"/>
        <v/>
      </c>
      <c r="O573" s="12" t="str">
        <f t="shared" si="130"/>
        <v/>
      </c>
      <c r="P573" s="12" t="str">
        <f t="shared" si="131"/>
        <v/>
      </c>
      <c r="Q573" s="12" t="e">
        <f t="shared" si="134"/>
        <v>#VALUE!</v>
      </c>
      <c r="R573" s="39" t="str">
        <f t="shared" si="133"/>
        <v/>
      </c>
      <c r="V573" s="12" t="str">
        <f t="shared" si="122"/>
        <v/>
      </c>
      <c r="W573" s="22" t="str">
        <f t="shared" si="135"/>
        <v/>
      </c>
    </row>
    <row r="574" spans="7:23" x14ac:dyDescent="0.25">
      <c r="G574" s="12" t="str">
        <f t="shared" si="132"/>
        <v/>
      </c>
      <c r="H574" s="12" t="str">
        <f t="shared" si="123"/>
        <v/>
      </c>
      <c r="I574" s="12" t="str">
        <f t="shared" si="124"/>
        <v/>
      </c>
      <c r="J574" s="12" t="str">
        <f t="shared" si="125"/>
        <v/>
      </c>
      <c r="K574" s="12" t="str">
        <f t="shared" si="126"/>
        <v/>
      </c>
      <c r="L574" s="12" t="str">
        <f t="shared" si="127"/>
        <v/>
      </c>
      <c r="M574" s="12" t="str">
        <f t="shared" si="128"/>
        <v/>
      </c>
      <c r="N574" s="12" t="str">
        <f t="shared" si="129"/>
        <v/>
      </c>
      <c r="O574" s="12" t="str">
        <f t="shared" si="130"/>
        <v/>
      </c>
      <c r="P574" s="12" t="str">
        <f t="shared" si="131"/>
        <v/>
      </c>
      <c r="Q574" s="12" t="e">
        <f t="shared" si="134"/>
        <v>#VALUE!</v>
      </c>
      <c r="R574" s="39" t="str">
        <f t="shared" si="133"/>
        <v/>
      </c>
      <c r="V574" s="12" t="str">
        <f t="shared" si="122"/>
        <v/>
      </c>
      <c r="W574" s="22" t="str">
        <f t="shared" si="135"/>
        <v/>
      </c>
    </row>
    <row r="575" spans="7:23" x14ac:dyDescent="0.25">
      <c r="G575" s="12" t="str">
        <f t="shared" si="132"/>
        <v/>
      </c>
      <c r="H575" s="12" t="str">
        <f t="shared" si="123"/>
        <v/>
      </c>
      <c r="I575" s="12" t="str">
        <f t="shared" si="124"/>
        <v/>
      </c>
      <c r="J575" s="12" t="str">
        <f t="shared" si="125"/>
        <v/>
      </c>
      <c r="K575" s="12" t="str">
        <f t="shared" si="126"/>
        <v/>
      </c>
      <c r="L575" s="12" t="str">
        <f t="shared" si="127"/>
        <v/>
      </c>
      <c r="M575" s="12" t="str">
        <f t="shared" si="128"/>
        <v/>
      </c>
      <c r="N575" s="12" t="str">
        <f t="shared" si="129"/>
        <v/>
      </c>
      <c r="O575" s="12" t="str">
        <f t="shared" si="130"/>
        <v/>
      </c>
      <c r="P575" s="12" t="str">
        <f t="shared" si="131"/>
        <v/>
      </c>
      <c r="Q575" s="12" t="e">
        <f t="shared" si="134"/>
        <v>#VALUE!</v>
      </c>
      <c r="R575" s="39" t="str">
        <f t="shared" si="133"/>
        <v/>
      </c>
      <c r="V575" s="12" t="str">
        <f t="shared" si="122"/>
        <v/>
      </c>
      <c r="W575" s="22" t="str">
        <f t="shared" si="135"/>
        <v/>
      </c>
    </row>
    <row r="576" spans="7:23" x14ac:dyDescent="0.25">
      <c r="G576" s="12" t="str">
        <f t="shared" si="132"/>
        <v/>
      </c>
      <c r="H576" s="12" t="str">
        <f t="shared" si="123"/>
        <v/>
      </c>
      <c r="I576" s="12" t="str">
        <f t="shared" si="124"/>
        <v/>
      </c>
      <c r="J576" s="12" t="str">
        <f t="shared" si="125"/>
        <v/>
      </c>
      <c r="K576" s="12" t="str">
        <f t="shared" si="126"/>
        <v/>
      </c>
      <c r="L576" s="12" t="str">
        <f t="shared" si="127"/>
        <v/>
      </c>
      <c r="M576" s="12" t="str">
        <f t="shared" si="128"/>
        <v/>
      </c>
      <c r="N576" s="12" t="str">
        <f t="shared" si="129"/>
        <v/>
      </c>
      <c r="O576" s="12" t="str">
        <f t="shared" si="130"/>
        <v/>
      </c>
      <c r="P576" s="12" t="str">
        <f t="shared" si="131"/>
        <v/>
      </c>
      <c r="Q576" s="12" t="e">
        <f t="shared" si="134"/>
        <v>#VALUE!</v>
      </c>
      <c r="R576" s="39" t="str">
        <f t="shared" si="133"/>
        <v/>
      </c>
      <c r="V576" s="12" t="str">
        <f t="shared" si="122"/>
        <v/>
      </c>
      <c r="W576" s="22" t="str">
        <f t="shared" si="135"/>
        <v/>
      </c>
    </row>
    <row r="577" spans="7:23" x14ac:dyDescent="0.25">
      <c r="G577" s="12" t="str">
        <f t="shared" si="132"/>
        <v/>
      </c>
      <c r="H577" s="12" t="str">
        <f t="shared" si="123"/>
        <v/>
      </c>
      <c r="I577" s="12" t="str">
        <f t="shared" si="124"/>
        <v/>
      </c>
      <c r="J577" s="12" t="str">
        <f t="shared" si="125"/>
        <v/>
      </c>
      <c r="K577" s="12" t="str">
        <f t="shared" si="126"/>
        <v/>
      </c>
      <c r="L577" s="12" t="str">
        <f t="shared" si="127"/>
        <v/>
      </c>
      <c r="M577" s="12" t="str">
        <f t="shared" si="128"/>
        <v/>
      </c>
      <c r="N577" s="12" t="str">
        <f t="shared" si="129"/>
        <v/>
      </c>
      <c r="O577" s="12" t="str">
        <f t="shared" si="130"/>
        <v/>
      </c>
      <c r="P577" s="12" t="str">
        <f t="shared" si="131"/>
        <v/>
      </c>
      <c r="Q577" s="12" t="e">
        <f t="shared" si="134"/>
        <v>#VALUE!</v>
      </c>
      <c r="R577" s="39" t="str">
        <f t="shared" si="133"/>
        <v/>
      </c>
      <c r="V577" s="12" t="str">
        <f t="shared" si="122"/>
        <v/>
      </c>
      <c r="W577" s="22" t="str">
        <f t="shared" si="135"/>
        <v/>
      </c>
    </row>
    <row r="578" spans="7:23" x14ac:dyDescent="0.25">
      <c r="G578" s="12" t="str">
        <f t="shared" si="132"/>
        <v/>
      </c>
      <c r="H578" s="12" t="str">
        <f t="shared" si="123"/>
        <v/>
      </c>
      <c r="I578" s="12" t="str">
        <f t="shared" si="124"/>
        <v/>
      </c>
      <c r="J578" s="12" t="str">
        <f t="shared" si="125"/>
        <v/>
      </c>
      <c r="K578" s="12" t="str">
        <f t="shared" si="126"/>
        <v/>
      </c>
      <c r="L578" s="12" t="str">
        <f t="shared" si="127"/>
        <v/>
      </c>
      <c r="M578" s="12" t="str">
        <f t="shared" si="128"/>
        <v/>
      </c>
      <c r="N578" s="12" t="str">
        <f t="shared" si="129"/>
        <v/>
      </c>
      <c r="O578" s="12" t="str">
        <f t="shared" si="130"/>
        <v/>
      </c>
      <c r="P578" s="12" t="str">
        <f t="shared" si="131"/>
        <v/>
      </c>
      <c r="Q578" s="12" t="e">
        <f t="shared" si="134"/>
        <v>#VALUE!</v>
      </c>
      <c r="R578" s="39" t="str">
        <f t="shared" si="133"/>
        <v/>
      </c>
      <c r="V578" s="12" t="str">
        <f t="shared" si="122"/>
        <v/>
      </c>
      <c r="W578" s="22" t="str">
        <f t="shared" si="135"/>
        <v/>
      </c>
    </row>
    <row r="579" spans="7:23" x14ac:dyDescent="0.25">
      <c r="G579" s="12" t="str">
        <f t="shared" si="132"/>
        <v/>
      </c>
      <c r="H579" s="12" t="str">
        <f t="shared" si="123"/>
        <v/>
      </c>
      <c r="I579" s="12" t="str">
        <f t="shared" si="124"/>
        <v/>
      </c>
      <c r="J579" s="12" t="str">
        <f t="shared" si="125"/>
        <v/>
      </c>
      <c r="K579" s="12" t="str">
        <f t="shared" si="126"/>
        <v/>
      </c>
      <c r="L579" s="12" t="str">
        <f t="shared" si="127"/>
        <v/>
      </c>
      <c r="M579" s="12" t="str">
        <f t="shared" si="128"/>
        <v/>
      </c>
      <c r="N579" s="12" t="str">
        <f t="shared" si="129"/>
        <v/>
      </c>
      <c r="O579" s="12" t="str">
        <f t="shared" si="130"/>
        <v/>
      </c>
      <c r="P579" s="12" t="str">
        <f t="shared" si="131"/>
        <v/>
      </c>
      <c r="Q579" s="12" t="e">
        <f t="shared" si="134"/>
        <v>#VALUE!</v>
      </c>
      <c r="R579" s="39" t="str">
        <f t="shared" si="133"/>
        <v/>
      </c>
      <c r="V579" s="12" t="str">
        <f t="shared" si="122"/>
        <v/>
      </c>
      <c r="W579" s="22" t="str">
        <f t="shared" si="135"/>
        <v/>
      </c>
    </row>
    <row r="580" spans="7:23" x14ac:dyDescent="0.25">
      <c r="G580" s="12" t="str">
        <f t="shared" si="132"/>
        <v/>
      </c>
      <c r="H580" s="12" t="str">
        <f t="shared" si="123"/>
        <v/>
      </c>
      <c r="I580" s="12" t="str">
        <f t="shared" si="124"/>
        <v/>
      </c>
      <c r="J580" s="12" t="str">
        <f t="shared" si="125"/>
        <v/>
      </c>
      <c r="K580" s="12" t="str">
        <f t="shared" si="126"/>
        <v/>
      </c>
      <c r="L580" s="12" t="str">
        <f t="shared" si="127"/>
        <v/>
      </c>
      <c r="M580" s="12" t="str">
        <f t="shared" si="128"/>
        <v/>
      </c>
      <c r="N580" s="12" t="str">
        <f t="shared" si="129"/>
        <v/>
      </c>
      <c r="O580" s="12" t="str">
        <f t="shared" si="130"/>
        <v/>
      </c>
      <c r="P580" s="12" t="str">
        <f t="shared" si="131"/>
        <v/>
      </c>
      <c r="Q580" s="12" t="e">
        <f t="shared" si="134"/>
        <v>#VALUE!</v>
      </c>
      <c r="R580" s="39" t="str">
        <f t="shared" si="133"/>
        <v/>
      </c>
      <c r="V580" s="12" t="str">
        <f t="shared" si="122"/>
        <v/>
      </c>
      <c r="W580" s="22" t="str">
        <f t="shared" si="135"/>
        <v/>
      </c>
    </row>
    <row r="581" spans="7:23" x14ac:dyDescent="0.25">
      <c r="G581" s="12" t="str">
        <f t="shared" si="132"/>
        <v/>
      </c>
      <c r="H581" s="12" t="str">
        <f t="shared" si="123"/>
        <v/>
      </c>
      <c r="I581" s="12" t="str">
        <f t="shared" si="124"/>
        <v/>
      </c>
      <c r="J581" s="12" t="str">
        <f t="shared" si="125"/>
        <v/>
      </c>
      <c r="K581" s="12" t="str">
        <f t="shared" si="126"/>
        <v/>
      </c>
      <c r="L581" s="12" t="str">
        <f t="shared" si="127"/>
        <v/>
      </c>
      <c r="M581" s="12" t="str">
        <f t="shared" si="128"/>
        <v/>
      </c>
      <c r="N581" s="12" t="str">
        <f t="shared" si="129"/>
        <v/>
      </c>
      <c r="O581" s="12" t="str">
        <f t="shared" si="130"/>
        <v/>
      </c>
      <c r="P581" s="12" t="str">
        <f t="shared" si="131"/>
        <v/>
      </c>
      <c r="Q581" s="12" t="e">
        <f t="shared" si="134"/>
        <v>#VALUE!</v>
      </c>
      <c r="R581" s="39" t="str">
        <f t="shared" si="133"/>
        <v/>
      </c>
      <c r="V581" s="12" t="str">
        <f t="shared" si="122"/>
        <v/>
      </c>
      <c r="W581" s="22" t="str">
        <f t="shared" si="135"/>
        <v/>
      </c>
    </row>
    <row r="582" spans="7:23" x14ac:dyDescent="0.25">
      <c r="G582" s="12" t="str">
        <f t="shared" si="132"/>
        <v/>
      </c>
      <c r="H582" s="12" t="str">
        <f t="shared" si="123"/>
        <v/>
      </c>
      <c r="I582" s="12" t="str">
        <f t="shared" si="124"/>
        <v/>
      </c>
      <c r="J582" s="12" t="str">
        <f t="shared" si="125"/>
        <v/>
      </c>
      <c r="K582" s="12" t="str">
        <f t="shared" si="126"/>
        <v/>
      </c>
      <c r="L582" s="12" t="str">
        <f t="shared" si="127"/>
        <v/>
      </c>
      <c r="M582" s="12" t="str">
        <f t="shared" si="128"/>
        <v/>
      </c>
      <c r="N582" s="12" t="str">
        <f t="shared" si="129"/>
        <v/>
      </c>
      <c r="O582" s="12" t="str">
        <f t="shared" si="130"/>
        <v/>
      </c>
      <c r="P582" s="12" t="str">
        <f t="shared" si="131"/>
        <v/>
      </c>
      <c r="Q582" s="12" t="e">
        <f t="shared" si="134"/>
        <v>#VALUE!</v>
      </c>
      <c r="R582" s="39" t="str">
        <f t="shared" si="133"/>
        <v/>
      </c>
      <c r="V582" s="12" t="str">
        <f t="shared" si="122"/>
        <v/>
      </c>
      <c r="W582" s="22" t="str">
        <f t="shared" si="135"/>
        <v/>
      </c>
    </row>
    <row r="583" spans="7:23" x14ac:dyDescent="0.25">
      <c r="G583" s="12" t="str">
        <f t="shared" si="132"/>
        <v/>
      </c>
      <c r="H583" s="12" t="str">
        <f t="shared" si="123"/>
        <v/>
      </c>
      <c r="I583" s="12" t="str">
        <f t="shared" si="124"/>
        <v/>
      </c>
      <c r="J583" s="12" t="str">
        <f t="shared" si="125"/>
        <v/>
      </c>
      <c r="K583" s="12" t="str">
        <f t="shared" si="126"/>
        <v/>
      </c>
      <c r="L583" s="12" t="str">
        <f t="shared" si="127"/>
        <v/>
      </c>
      <c r="M583" s="12" t="str">
        <f t="shared" si="128"/>
        <v/>
      </c>
      <c r="N583" s="12" t="str">
        <f t="shared" si="129"/>
        <v/>
      </c>
      <c r="O583" s="12" t="str">
        <f t="shared" si="130"/>
        <v/>
      </c>
      <c r="P583" s="12" t="str">
        <f t="shared" si="131"/>
        <v/>
      </c>
      <c r="Q583" s="12" t="e">
        <f t="shared" si="134"/>
        <v>#VALUE!</v>
      </c>
      <c r="R583" s="39" t="str">
        <f t="shared" si="133"/>
        <v/>
      </c>
      <c r="V583" s="12" t="str">
        <f t="shared" si="122"/>
        <v/>
      </c>
      <c r="W583" s="22" t="str">
        <f t="shared" si="135"/>
        <v/>
      </c>
    </row>
    <row r="584" spans="7:23" x14ac:dyDescent="0.25">
      <c r="G584" s="12" t="str">
        <f t="shared" si="132"/>
        <v/>
      </c>
      <c r="H584" s="12" t="str">
        <f t="shared" si="123"/>
        <v/>
      </c>
      <c r="I584" s="12" t="str">
        <f t="shared" si="124"/>
        <v/>
      </c>
      <c r="J584" s="12" t="str">
        <f t="shared" si="125"/>
        <v/>
      </c>
      <c r="K584" s="12" t="str">
        <f t="shared" si="126"/>
        <v/>
      </c>
      <c r="L584" s="12" t="str">
        <f t="shared" si="127"/>
        <v/>
      </c>
      <c r="M584" s="12" t="str">
        <f t="shared" si="128"/>
        <v/>
      </c>
      <c r="N584" s="12" t="str">
        <f t="shared" si="129"/>
        <v/>
      </c>
      <c r="O584" s="12" t="str">
        <f t="shared" si="130"/>
        <v/>
      </c>
      <c r="P584" s="12" t="str">
        <f t="shared" si="131"/>
        <v/>
      </c>
      <c r="Q584" s="12" t="e">
        <f t="shared" si="134"/>
        <v>#VALUE!</v>
      </c>
      <c r="R584" s="39" t="str">
        <f t="shared" si="133"/>
        <v/>
      </c>
      <c r="V584" s="12" t="str">
        <f t="shared" si="122"/>
        <v/>
      </c>
      <c r="W584" s="22" t="str">
        <f t="shared" si="135"/>
        <v/>
      </c>
    </row>
    <row r="585" spans="7:23" x14ac:dyDescent="0.25">
      <c r="G585" s="12" t="str">
        <f t="shared" si="132"/>
        <v/>
      </c>
      <c r="H585" s="12" t="str">
        <f t="shared" si="123"/>
        <v/>
      </c>
      <c r="I585" s="12" t="str">
        <f t="shared" si="124"/>
        <v/>
      </c>
      <c r="J585" s="12" t="str">
        <f t="shared" si="125"/>
        <v/>
      </c>
      <c r="K585" s="12" t="str">
        <f t="shared" si="126"/>
        <v/>
      </c>
      <c r="L585" s="12" t="str">
        <f t="shared" si="127"/>
        <v/>
      </c>
      <c r="M585" s="12" t="str">
        <f t="shared" si="128"/>
        <v/>
      </c>
      <c r="N585" s="12" t="str">
        <f t="shared" si="129"/>
        <v/>
      </c>
      <c r="O585" s="12" t="str">
        <f t="shared" si="130"/>
        <v/>
      </c>
      <c r="P585" s="12" t="str">
        <f t="shared" si="131"/>
        <v/>
      </c>
      <c r="Q585" s="12" t="e">
        <f t="shared" si="134"/>
        <v>#VALUE!</v>
      </c>
      <c r="R585" s="39" t="str">
        <f t="shared" si="133"/>
        <v/>
      </c>
      <c r="V585" s="12" t="str">
        <f t="shared" si="122"/>
        <v/>
      </c>
      <c r="W585" s="22" t="str">
        <f t="shared" si="135"/>
        <v/>
      </c>
    </row>
    <row r="586" spans="7:23" x14ac:dyDescent="0.25">
      <c r="G586" s="12" t="str">
        <f t="shared" si="132"/>
        <v/>
      </c>
      <c r="H586" s="12" t="str">
        <f t="shared" si="123"/>
        <v/>
      </c>
      <c r="I586" s="12" t="str">
        <f t="shared" si="124"/>
        <v/>
      </c>
      <c r="J586" s="12" t="str">
        <f t="shared" si="125"/>
        <v/>
      </c>
      <c r="K586" s="12" t="str">
        <f t="shared" si="126"/>
        <v/>
      </c>
      <c r="L586" s="12" t="str">
        <f t="shared" si="127"/>
        <v/>
      </c>
      <c r="M586" s="12" t="str">
        <f t="shared" si="128"/>
        <v/>
      </c>
      <c r="N586" s="12" t="str">
        <f t="shared" si="129"/>
        <v/>
      </c>
      <c r="O586" s="12" t="str">
        <f t="shared" si="130"/>
        <v/>
      </c>
      <c r="P586" s="12" t="str">
        <f t="shared" si="131"/>
        <v/>
      </c>
      <c r="Q586" s="12" t="e">
        <f t="shared" si="134"/>
        <v>#VALUE!</v>
      </c>
      <c r="R586" s="39" t="str">
        <f t="shared" si="133"/>
        <v/>
      </c>
      <c r="V586" s="12" t="str">
        <f t="shared" si="122"/>
        <v/>
      </c>
      <c r="W586" s="22" t="str">
        <f t="shared" si="135"/>
        <v/>
      </c>
    </row>
    <row r="587" spans="7:23" x14ac:dyDescent="0.25">
      <c r="G587" s="12" t="str">
        <f t="shared" si="132"/>
        <v/>
      </c>
      <c r="H587" s="12" t="str">
        <f t="shared" si="123"/>
        <v/>
      </c>
      <c r="I587" s="12" t="str">
        <f t="shared" si="124"/>
        <v/>
      </c>
      <c r="J587" s="12" t="str">
        <f t="shared" si="125"/>
        <v/>
      </c>
      <c r="K587" s="12" t="str">
        <f t="shared" si="126"/>
        <v/>
      </c>
      <c r="L587" s="12" t="str">
        <f t="shared" si="127"/>
        <v/>
      </c>
      <c r="M587" s="12" t="str">
        <f t="shared" si="128"/>
        <v/>
      </c>
      <c r="N587" s="12" t="str">
        <f t="shared" si="129"/>
        <v/>
      </c>
      <c r="O587" s="12" t="str">
        <f t="shared" si="130"/>
        <v/>
      </c>
      <c r="P587" s="12" t="str">
        <f t="shared" si="131"/>
        <v/>
      </c>
      <c r="Q587" s="12" t="e">
        <f t="shared" si="134"/>
        <v>#VALUE!</v>
      </c>
      <c r="R587" s="39" t="str">
        <f t="shared" si="133"/>
        <v/>
      </c>
      <c r="V587" s="12" t="str">
        <f t="shared" si="122"/>
        <v/>
      </c>
      <c r="W587" s="22" t="str">
        <f t="shared" si="135"/>
        <v/>
      </c>
    </row>
    <row r="588" spans="7:23" x14ac:dyDescent="0.25">
      <c r="G588" s="12" t="str">
        <f t="shared" si="132"/>
        <v/>
      </c>
      <c r="H588" s="12" t="str">
        <f t="shared" si="123"/>
        <v/>
      </c>
      <c r="I588" s="12" t="str">
        <f t="shared" si="124"/>
        <v/>
      </c>
      <c r="J588" s="12" t="str">
        <f t="shared" si="125"/>
        <v/>
      </c>
      <c r="K588" s="12" t="str">
        <f t="shared" si="126"/>
        <v/>
      </c>
      <c r="L588" s="12" t="str">
        <f t="shared" si="127"/>
        <v/>
      </c>
      <c r="M588" s="12" t="str">
        <f t="shared" si="128"/>
        <v/>
      </c>
      <c r="N588" s="12" t="str">
        <f t="shared" si="129"/>
        <v/>
      </c>
      <c r="O588" s="12" t="str">
        <f t="shared" si="130"/>
        <v/>
      </c>
      <c r="P588" s="12" t="str">
        <f t="shared" si="131"/>
        <v/>
      </c>
      <c r="Q588" s="12" t="e">
        <f t="shared" si="134"/>
        <v>#VALUE!</v>
      </c>
      <c r="R588" s="39" t="str">
        <f t="shared" si="133"/>
        <v/>
      </c>
      <c r="V588" s="12" t="str">
        <f t="shared" si="122"/>
        <v/>
      </c>
      <c r="W588" s="22" t="str">
        <f t="shared" si="135"/>
        <v/>
      </c>
    </row>
    <row r="589" spans="7:23" x14ac:dyDescent="0.25">
      <c r="G589" s="12" t="str">
        <f t="shared" si="132"/>
        <v/>
      </c>
      <c r="H589" s="12" t="str">
        <f t="shared" si="123"/>
        <v/>
      </c>
      <c r="I589" s="12" t="str">
        <f t="shared" si="124"/>
        <v/>
      </c>
      <c r="J589" s="12" t="str">
        <f t="shared" si="125"/>
        <v/>
      </c>
      <c r="K589" s="12" t="str">
        <f t="shared" si="126"/>
        <v/>
      </c>
      <c r="L589" s="12" t="str">
        <f t="shared" si="127"/>
        <v/>
      </c>
      <c r="M589" s="12" t="str">
        <f t="shared" si="128"/>
        <v/>
      </c>
      <c r="N589" s="12" t="str">
        <f t="shared" si="129"/>
        <v/>
      </c>
      <c r="O589" s="12" t="str">
        <f t="shared" si="130"/>
        <v/>
      </c>
      <c r="P589" s="12" t="str">
        <f t="shared" si="131"/>
        <v/>
      </c>
      <c r="Q589" s="12" t="e">
        <f t="shared" si="134"/>
        <v>#VALUE!</v>
      </c>
      <c r="R589" s="39" t="str">
        <f t="shared" si="133"/>
        <v/>
      </c>
      <c r="V589" s="12" t="str">
        <f t="shared" si="122"/>
        <v/>
      </c>
      <c r="W589" s="22" t="str">
        <f t="shared" si="135"/>
        <v/>
      </c>
    </row>
    <row r="590" spans="7:23" x14ac:dyDescent="0.25">
      <c r="G590" s="12" t="str">
        <f t="shared" si="132"/>
        <v/>
      </c>
      <c r="H590" s="12" t="str">
        <f t="shared" si="123"/>
        <v/>
      </c>
      <c r="I590" s="12" t="str">
        <f t="shared" si="124"/>
        <v/>
      </c>
      <c r="J590" s="12" t="str">
        <f t="shared" si="125"/>
        <v/>
      </c>
      <c r="K590" s="12" t="str">
        <f t="shared" si="126"/>
        <v/>
      </c>
      <c r="L590" s="12" t="str">
        <f t="shared" si="127"/>
        <v/>
      </c>
      <c r="M590" s="12" t="str">
        <f t="shared" si="128"/>
        <v/>
      </c>
      <c r="N590" s="12" t="str">
        <f t="shared" si="129"/>
        <v/>
      </c>
      <c r="O590" s="12" t="str">
        <f t="shared" si="130"/>
        <v/>
      </c>
      <c r="P590" s="12" t="str">
        <f t="shared" si="131"/>
        <v/>
      </c>
      <c r="Q590" s="12" t="e">
        <f t="shared" si="134"/>
        <v>#VALUE!</v>
      </c>
      <c r="R590" s="39" t="str">
        <f t="shared" si="133"/>
        <v/>
      </c>
      <c r="V590" s="12" t="str">
        <f t="shared" si="122"/>
        <v/>
      </c>
      <c r="W590" s="22" t="str">
        <f t="shared" si="135"/>
        <v/>
      </c>
    </row>
    <row r="591" spans="7:23" x14ac:dyDescent="0.25">
      <c r="G591" s="12" t="str">
        <f t="shared" si="132"/>
        <v/>
      </c>
      <c r="H591" s="12" t="str">
        <f t="shared" si="123"/>
        <v/>
      </c>
      <c r="I591" s="12" t="str">
        <f t="shared" si="124"/>
        <v/>
      </c>
      <c r="J591" s="12" t="str">
        <f t="shared" si="125"/>
        <v/>
      </c>
      <c r="K591" s="12" t="str">
        <f t="shared" si="126"/>
        <v/>
      </c>
      <c r="L591" s="12" t="str">
        <f t="shared" si="127"/>
        <v/>
      </c>
      <c r="M591" s="12" t="str">
        <f t="shared" si="128"/>
        <v/>
      </c>
      <c r="N591" s="12" t="str">
        <f t="shared" si="129"/>
        <v/>
      </c>
      <c r="O591" s="12" t="str">
        <f t="shared" si="130"/>
        <v/>
      </c>
      <c r="P591" s="12" t="str">
        <f t="shared" si="131"/>
        <v/>
      </c>
      <c r="Q591" s="12" t="e">
        <f t="shared" si="134"/>
        <v>#VALUE!</v>
      </c>
      <c r="R591" s="39" t="str">
        <f t="shared" si="133"/>
        <v/>
      </c>
      <c r="V591" s="12" t="str">
        <f t="shared" si="122"/>
        <v/>
      </c>
      <c r="W591" s="22" t="str">
        <f t="shared" si="135"/>
        <v/>
      </c>
    </row>
    <row r="592" spans="7:23" x14ac:dyDescent="0.25">
      <c r="G592" s="12" t="str">
        <f t="shared" si="132"/>
        <v/>
      </c>
      <c r="H592" s="12" t="str">
        <f t="shared" si="123"/>
        <v/>
      </c>
      <c r="I592" s="12" t="str">
        <f t="shared" si="124"/>
        <v/>
      </c>
      <c r="J592" s="12" t="str">
        <f t="shared" si="125"/>
        <v/>
      </c>
      <c r="K592" s="12" t="str">
        <f t="shared" si="126"/>
        <v/>
      </c>
      <c r="L592" s="12" t="str">
        <f t="shared" si="127"/>
        <v/>
      </c>
      <c r="M592" s="12" t="str">
        <f t="shared" si="128"/>
        <v/>
      </c>
      <c r="N592" s="12" t="str">
        <f t="shared" si="129"/>
        <v/>
      </c>
      <c r="O592" s="12" t="str">
        <f t="shared" si="130"/>
        <v/>
      </c>
      <c r="P592" s="12" t="str">
        <f t="shared" si="131"/>
        <v/>
      </c>
      <c r="Q592" s="12" t="e">
        <f t="shared" si="134"/>
        <v>#VALUE!</v>
      </c>
      <c r="R592" s="39" t="str">
        <f t="shared" si="133"/>
        <v/>
      </c>
      <c r="V592" s="12" t="str">
        <f t="shared" si="122"/>
        <v/>
      </c>
      <c r="W592" s="22" t="str">
        <f t="shared" si="135"/>
        <v/>
      </c>
    </row>
    <row r="593" spans="7:23" x14ac:dyDescent="0.25">
      <c r="G593" s="12" t="str">
        <f t="shared" si="132"/>
        <v/>
      </c>
      <c r="H593" s="12" t="str">
        <f t="shared" si="123"/>
        <v/>
      </c>
      <c r="I593" s="12" t="str">
        <f t="shared" si="124"/>
        <v/>
      </c>
      <c r="J593" s="12" t="str">
        <f t="shared" si="125"/>
        <v/>
      </c>
      <c r="K593" s="12" t="str">
        <f t="shared" si="126"/>
        <v/>
      </c>
      <c r="L593" s="12" t="str">
        <f t="shared" si="127"/>
        <v/>
      </c>
      <c r="M593" s="12" t="str">
        <f t="shared" si="128"/>
        <v/>
      </c>
      <c r="N593" s="12" t="str">
        <f t="shared" si="129"/>
        <v/>
      </c>
      <c r="O593" s="12" t="str">
        <f t="shared" si="130"/>
        <v/>
      </c>
      <c r="P593" s="12" t="str">
        <f t="shared" si="131"/>
        <v/>
      </c>
      <c r="Q593" s="12" t="e">
        <f t="shared" si="134"/>
        <v>#VALUE!</v>
      </c>
      <c r="R593" s="39" t="str">
        <f t="shared" si="133"/>
        <v/>
      </c>
      <c r="V593" s="12" t="str">
        <f t="shared" ref="V593:V656" si="136">H593</f>
        <v/>
      </c>
      <c r="W593" s="22" t="str">
        <f t="shared" si="135"/>
        <v/>
      </c>
    </row>
    <row r="594" spans="7:23" x14ac:dyDescent="0.25">
      <c r="G594" s="12" t="str">
        <f t="shared" si="132"/>
        <v/>
      </c>
      <c r="H594" s="12" t="str">
        <f t="shared" ref="H594:H657" si="137">IFERROR(IF(E594=1,Q594,""),"")</f>
        <v/>
      </c>
      <c r="I594" s="12" t="str">
        <f t="shared" ref="I594:I657" si="138">IFERROR(IF(E594=2,Q594,""),"")</f>
        <v/>
      </c>
      <c r="J594" s="12" t="str">
        <f t="shared" ref="J594:J657" si="139">IFERROR(IF(E594=3,Q594,""),"")</f>
        <v/>
      </c>
      <c r="K594" s="12" t="str">
        <f t="shared" ref="K594:K657" si="140">IFERROR(IF(E594=4,Q594,""),"")</f>
        <v/>
      </c>
      <c r="L594" s="12" t="str">
        <f t="shared" ref="L594:L657" si="141">IFERROR(IF(E594=5,Q594,""),"")</f>
        <v/>
      </c>
      <c r="M594" s="12" t="str">
        <f t="shared" ref="M594:M657" si="142">IFERROR(IF(E594=6,Q594,""),"")</f>
        <v/>
      </c>
      <c r="N594" s="12" t="str">
        <f t="shared" ref="N594:N657" si="143">IFERROR(IF(E594=7,Q594,""),"")</f>
        <v/>
      </c>
      <c r="O594" s="12" t="str">
        <f t="shared" ref="O594:O657" si="144">IFERROR(IF(E594=8,Q594,""),"")</f>
        <v/>
      </c>
      <c r="P594" s="12" t="str">
        <f t="shared" ref="P594:P657" si="145">IFERROR(IF(E594=9,Q594,""),"")</f>
        <v/>
      </c>
      <c r="Q594" s="12" t="e">
        <f t="shared" si="134"/>
        <v>#VALUE!</v>
      </c>
      <c r="R594" s="39" t="str">
        <f t="shared" si="133"/>
        <v/>
      </c>
      <c r="V594" s="12" t="str">
        <f t="shared" si="136"/>
        <v/>
      </c>
      <c r="W594" s="22" t="str">
        <f t="shared" si="135"/>
        <v/>
      </c>
    </row>
    <row r="595" spans="7:23" x14ac:dyDescent="0.25">
      <c r="G595" s="12" t="str">
        <f t="shared" si="132"/>
        <v/>
      </c>
      <c r="H595" s="12" t="str">
        <f t="shared" si="137"/>
        <v/>
      </c>
      <c r="I595" s="12" t="str">
        <f t="shared" si="138"/>
        <v/>
      </c>
      <c r="J595" s="12" t="str">
        <f t="shared" si="139"/>
        <v/>
      </c>
      <c r="K595" s="12" t="str">
        <f t="shared" si="140"/>
        <v/>
      </c>
      <c r="L595" s="12" t="str">
        <f t="shared" si="141"/>
        <v/>
      </c>
      <c r="M595" s="12" t="str">
        <f t="shared" si="142"/>
        <v/>
      </c>
      <c r="N595" s="12" t="str">
        <f t="shared" si="143"/>
        <v/>
      </c>
      <c r="O595" s="12" t="str">
        <f t="shared" si="144"/>
        <v/>
      </c>
      <c r="P595" s="12" t="str">
        <f t="shared" si="145"/>
        <v/>
      </c>
      <c r="Q595" s="12" t="e">
        <f t="shared" si="134"/>
        <v>#VALUE!</v>
      </c>
      <c r="R595" s="39" t="str">
        <f t="shared" si="133"/>
        <v/>
      </c>
      <c r="V595" s="12" t="str">
        <f t="shared" si="136"/>
        <v/>
      </c>
      <c r="W595" s="22" t="str">
        <f t="shared" si="135"/>
        <v/>
      </c>
    </row>
    <row r="596" spans="7:23" x14ac:dyDescent="0.25">
      <c r="G596" s="12" t="str">
        <f t="shared" si="132"/>
        <v/>
      </c>
      <c r="H596" s="12" t="str">
        <f t="shared" si="137"/>
        <v/>
      </c>
      <c r="I596" s="12" t="str">
        <f t="shared" si="138"/>
        <v/>
      </c>
      <c r="J596" s="12" t="str">
        <f t="shared" si="139"/>
        <v/>
      </c>
      <c r="K596" s="12" t="str">
        <f t="shared" si="140"/>
        <v/>
      </c>
      <c r="L596" s="12" t="str">
        <f t="shared" si="141"/>
        <v/>
      </c>
      <c r="M596" s="12" t="str">
        <f t="shared" si="142"/>
        <v/>
      </c>
      <c r="N596" s="12" t="str">
        <f t="shared" si="143"/>
        <v/>
      </c>
      <c r="O596" s="12" t="str">
        <f t="shared" si="144"/>
        <v/>
      </c>
      <c r="P596" s="12" t="str">
        <f t="shared" si="145"/>
        <v/>
      </c>
      <c r="Q596" s="12" t="e">
        <f t="shared" si="134"/>
        <v>#VALUE!</v>
      </c>
      <c r="R596" s="39" t="str">
        <f t="shared" si="133"/>
        <v/>
      </c>
      <c r="V596" s="12" t="str">
        <f t="shared" si="136"/>
        <v/>
      </c>
      <c r="W596" s="22" t="str">
        <f t="shared" si="135"/>
        <v/>
      </c>
    </row>
    <row r="597" spans="7:23" x14ac:dyDescent="0.25">
      <c r="G597" s="12" t="str">
        <f t="shared" si="132"/>
        <v/>
      </c>
      <c r="H597" s="12" t="str">
        <f t="shared" si="137"/>
        <v/>
      </c>
      <c r="I597" s="12" t="str">
        <f t="shared" si="138"/>
        <v/>
      </c>
      <c r="J597" s="12" t="str">
        <f t="shared" si="139"/>
        <v/>
      </c>
      <c r="K597" s="12" t="str">
        <f t="shared" si="140"/>
        <v/>
      </c>
      <c r="L597" s="12" t="str">
        <f t="shared" si="141"/>
        <v/>
      </c>
      <c r="M597" s="12" t="str">
        <f t="shared" si="142"/>
        <v/>
      </c>
      <c r="N597" s="12" t="str">
        <f t="shared" si="143"/>
        <v/>
      </c>
      <c r="O597" s="12" t="str">
        <f t="shared" si="144"/>
        <v/>
      </c>
      <c r="P597" s="12" t="str">
        <f t="shared" si="145"/>
        <v/>
      </c>
      <c r="Q597" s="12" t="e">
        <f t="shared" si="134"/>
        <v>#VALUE!</v>
      </c>
      <c r="R597" s="39" t="str">
        <f t="shared" si="133"/>
        <v/>
      </c>
      <c r="V597" s="12" t="str">
        <f t="shared" si="136"/>
        <v/>
      </c>
      <c r="W597" s="22" t="str">
        <f t="shared" si="135"/>
        <v/>
      </c>
    </row>
    <row r="598" spans="7:23" x14ac:dyDescent="0.25">
      <c r="G598" s="12" t="str">
        <f t="shared" ref="G598:G661" si="146">IF(LEN(F598)=5,TIMEVALUE(LEFT(F598,1)&amp;":"&amp;MID(F598,2,2)&amp;":"&amp;RIGHT(F598,2)),IF(LEN(F598)=6,TIMEVALUE(LEFT(F598,2)&amp;":"&amp;MID(F598,3,2)&amp;":"&amp;RIGHT(F598,2)),""))</f>
        <v/>
      </c>
      <c r="H598" s="12" t="str">
        <f t="shared" si="137"/>
        <v/>
      </c>
      <c r="I598" s="12" t="str">
        <f t="shared" si="138"/>
        <v/>
      </c>
      <c r="J598" s="12" t="str">
        <f t="shared" si="139"/>
        <v/>
      </c>
      <c r="K598" s="12" t="str">
        <f t="shared" si="140"/>
        <v/>
      </c>
      <c r="L598" s="12" t="str">
        <f t="shared" si="141"/>
        <v/>
      </c>
      <c r="M598" s="12" t="str">
        <f t="shared" si="142"/>
        <v/>
      </c>
      <c r="N598" s="12" t="str">
        <f t="shared" si="143"/>
        <v/>
      </c>
      <c r="O598" s="12" t="str">
        <f t="shared" si="144"/>
        <v/>
      </c>
      <c r="P598" s="12" t="str">
        <f t="shared" si="145"/>
        <v/>
      </c>
      <c r="Q598" s="12" t="e">
        <f t="shared" si="134"/>
        <v>#VALUE!</v>
      </c>
      <c r="R598" s="39" t="str">
        <f t="shared" ref="R598:R661" si="147">IF(H598="","",HOUR(H598)*60+MINUTE(H598)+SECOND(H598)/60)</f>
        <v/>
      </c>
      <c r="V598" s="12" t="str">
        <f t="shared" si="136"/>
        <v/>
      </c>
      <c r="W598" s="22" t="str">
        <f t="shared" si="135"/>
        <v/>
      </c>
    </row>
    <row r="599" spans="7:23" x14ac:dyDescent="0.25">
      <c r="G599" s="12" t="str">
        <f t="shared" si="146"/>
        <v/>
      </c>
      <c r="H599" s="12" t="str">
        <f t="shared" si="137"/>
        <v/>
      </c>
      <c r="I599" s="12" t="str">
        <f t="shared" si="138"/>
        <v/>
      </c>
      <c r="J599" s="12" t="str">
        <f t="shared" si="139"/>
        <v/>
      </c>
      <c r="K599" s="12" t="str">
        <f t="shared" si="140"/>
        <v/>
      </c>
      <c r="L599" s="12" t="str">
        <f t="shared" si="141"/>
        <v/>
      </c>
      <c r="M599" s="12" t="str">
        <f t="shared" si="142"/>
        <v/>
      </c>
      <c r="N599" s="12" t="str">
        <f t="shared" si="143"/>
        <v/>
      </c>
      <c r="O599" s="12" t="str">
        <f t="shared" si="144"/>
        <v/>
      </c>
      <c r="P599" s="12" t="str">
        <f t="shared" si="145"/>
        <v/>
      </c>
      <c r="Q599" s="12" t="e">
        <f t="shared" si="134"/>
        <v>#VALUE!</v>
      </c>
      <c r="R599" s="39" t="str">
        <f t="shared" si="147"/>
        <v/>
      </c>
      <c r="V599" s="12" t="str">
        <f t="shared" si="136"/>
        <v/>
      </c>
      <c r="W599" s="22" t="str">
        <f t="shared" si="135"/>
        <v/>
      </c>
    </row>
    <row r="600" spans="7:23" x14ac:dyDescent="0.25">
      <c r="G600" s="12" t="str">
        <f t="shared" si="146"/>
        <v/>
      </c>
      <c r="H600" s="12" t="str">
        <f t="shared" si="137"/>
        <v/>
      </c>
      <c r="I600" s="12" t="str">
        <f t="shared" si="138"/>
        <v/>
      </c>
      <c r="J600" s="12" t="str">
        <f t="shared" si="139"/>
        <v/>
      </c>
      <c r="K600" s="12" t="str">
        <f t="shared" si="140"/>
        <v/>
      </c>
      <c r="L600" s="12" t="str">
        <f t="shared" si="141"/>
        <v/>
      </c>
      <c r="M600" s="12" t="str">
        <f t="shared" si="142"/>
        <v/>
      </c>
      <c r="N600" s="12" t="str">
        <f t="shared" si="143"/>
        <v/>
      </c>
      <c r="O600" s="12" t="str">
        <f t="shared" si="144"/>
        <v/>
      </c>
      <c r="P600" s="12" t="str">
        <f t="shared" si="145"/>
        <v/>
      </c>
      <c r="Q600" s="12" t="e">
        <f t="shared" si="134"/>
        <v>#VALUE!</v>
      </c>
      <c r="R600" s="39" t="str">
        <f t="shared" si="147"/>
        <v/>
      </c>
      <c r="V600" s="12" t="str">
        <f t="shared" si="136"/>
        <v/>
      </c>
      <c r="W600" s="22" t="str">
        <f t="shared" si="135"/>
        <v/>
      </c>
    </row>
    <row r="601" spans="7:23" x14ac:dyDescent="0.25">
      <c r="G601" s="12" t="str">
        <f t="shared" si="146"/>
        <v/>
      </c>
      <c r="H601" s="12" t="str">
        <f t="shared" si="137"/>
        <v/>
      </c>
      <c r="I601" s="12" t="str">
        <f t="shared" si="138"/>
        <v/>
      </c>
      <c r="J601" s="12" t="str">
        <f t="shared" si="139"/>
        <v/>
      </c>
      <c r="K601" s="12" t="str">
        <f t="shared" si="140"/>
        <v/>
      </c>
      <c r="L601" s="12" t="str">
        <f t="shared" si="141"/>
        <v/>
      </c>
      <c r="M601" s="12" t="str">
        <f t="shared" si="142"/>
        <v/>
      </c>
      <c r="N601" s="12" t="str">
        <f t="shared" si="143"/>
        <v/>
      </c>
      <c r="O601" s="12" t="str">
        <f t="shared" si="144"/>
        <v/>
      </c>
      <c r="P601" s="12" t="str">
        <f t="shared" si="145"/>
        <v/>
      </c>
      <c r="Q601" s="12" t="e">
        <f t="shared" si="134"/>
        <v>#VALUE!</v>
      </c>
      <c r="R601" s="39" t="str">
        <f t="shared" si="147"/>
        <v/>
      </c>
      <c r="V601" s="12" t="str">
        <f t="shared" si="136"/>
        <v/>
      </c>
      <c r="W601" s="22" t="str">
        <f t="shared" si="135"/>
        <v/>
      </c>
    </row>
    <row r="602" spans="7:23" x14ac:dyDescent="0.25">
      <c r="G602" s="12" t="str">
        <f t="shared" si="146"/>
        <v/>
      </c>
      <c r="H602" s="12" t="str">
        <f t="shared" si="137"/>
        <v/>
      </c>
      <c r="I602" s="12" t="str">
        <f t="shared" si="138"/>
        <v/>
      </c>
      <c r="J602" s="12" t="str">
        <f t="shared" si="139"/>
        <v/>
      </c>
      <c r="K602" s="12" t="str">
        <f t="shared" si="140"/>
        <v/>
      </c>
      <c r="L602" s="12" t="str">
        <f t="shared" si="141"/>
        <v/>
      </c>
      <c r="M602" s="12" t="str">
        <f t="shared" si="142"/>
        <v/>
      </c>
      <c r="N602" s="12" t="str">
        <f t="shared" si="143"/>
        <v/>
      </c>
      <c r="O602" s="12" t="str">
        <f t="shared" si="144"/>
        <v/>
      </c>
      <c r="P602" s="12" t="str">
        <f t="shared" si="145"/>
        <v/>
      </c>
      <c r="Q602" s="12" t="e">
        <f t="shared" si="134"/>
        <v>#VALUE!</v>
      </c>
      <c r="R602" s="39" t="str">
        <f t="shared" si="147"/>
        <v/>
      </c>
      <c r="V602" s="12" t="str">
        <f t="shared" si="136"/>
        <v/>
      </c>
      <c r="W602" s="22" t="str">
        <f t="shared" si="135"/>
        <v/>
      </c>
    </row>
    <row r="603" spans="7:23" x14ac:dyDescent="0.25">
      <c r="G603" s="12" t="str">
        <f t="shared" si="146"/>
        <v/>
      </c>
      <c r="H603" s="12" t="str">
        <f t="shared" si="137"/>
        <v/>
      </c>
      <c r="I603" s="12" t="str">
        <f t="shared" si="138"/>
        <v/>
      </c>
      <c r="J603" s="12" t="str">
        <f t="shared" si="139"/>
        <v/>
      </c>
      <c r="K603" s="12" t="str">
        <f t="shared" si="140"/>
        <v/>
      </c>
      <c r="L603" s="12" t="str">
        <f t="shared" si="141"/>
        <v/>
      </c>
      <c r="M603" s="12" t="str">
        <f t="shared" si="142"/>
        <v/>
      </c>
      <c r="N603" s="12" t="str">
        <f t="shared" si="143"/>
        <v/>
      </c>
      <c r="O603" s="12" t="str">
        <f t="shared" si="144"/>
        <v/>
      </c>
      <c r="P603" s="12" t="str">
        <f t="shared" si="145"/>
        <v/>
      </c>
      <c r="Q603" s="12" t="e">
        <f t="shared" si="134"/>
        <v>#VALUE!</v>
      </c>
      <c r="R603" s="39" t="str">
        <f t="shared" si="147"/>
        <v/>
      </c>
      <c r="V603" s="12" t="str">
        <f t="shared" si="136"/>
        <v/>
      </c>
      <c r="W603" s="22" t="str">
        <f t="shared" si="135"/>
        <v/>
      </c>
    </row>
    <row r="604" spans="7:23" x14ac:dyDescent="0.25">
      <c r="G604" s="12" t="str">
        <f t="shared" si="146"/>
        <v/>
      </c>
      <c r="H604" s="12" t="str">
        <f t="shared" si="137"/>
        <v/>
      </c>
      <c r="I604" s="12" t="str">
        <f t="shared" si="138"/>
        <v/>
      </c>
      <c r="J604" s="12" t="str">
        <f t="shared" si="139"/>
        <v/>
      </c>
      <c r="K604" s="12" t="str">
        <f t="shared" si="140"/>
        <v/>
      </c>
      <c r="L604" s="12" t="str">
        <f t="shared" si="141"/>
        <v/>
      </c>
      <c r="M604" s="12" t="str">
        <f t="shared" si="142"/>
        <v/>
      </c>
      <c r="N604" s="12" t="str">
        <f t="shared" si="143"/>
        <v/>
      </c>
      <c r="O604" s="12" t="str">
        <f t="shared" si="144"/>
        <v/>
      </c>
      <c r="P604" s="12" t="str">
        <f t="shared" si="145"/>
        <v/>
      </c>
      <c r="Q604" s="12" t="e">
        <f t="shared" si="134"/>
        <v>#VALUE!</v>
      </c>
      <c r="R604" s="39" t="str">
        <f t="shared" si="147"/>
        <v/>
      </c>
      <c r="V604" s="12" t="str">
        <f t="shared" si="136"/>
        <v/>
      </c>
      <c r="W604" s="22" t="str">
        <f t="shared" si="135"/>
        <v/>
      </c>
    </row>
    <row r="605" spans="7:23" x14ac:dyDescent="0.25">
      <c r="G605" s="12" t="str">
        <f t="shared" si="146"/>
        <v/>
      </c>
      <c r="H605" s="12" t="str">
        <f t="shared" si="137"/>
        <v/>
      </c>
      <c r="I605" s="12" t="str">
        <f t="shared" si="138"/>
        <v/>
      </c>
      <c r="J605" s="12" t="str">
        <f t="shared" si="139"/>
        <v/>
      </c>
      <c r="K605" s="12" t="str">
        <f t="shared" si="140"/>
        <v/>
      </c>
      <c r="L605" s="12" t="str">
        <f t="shared" si="141"/>
        <v/>
      </c>
      <c r="M605" s="12" t="str">
        <f t="shared" si="142"/>
        <v/>
      </c>
      <c r="N605" s="12" t="str">
        <f t="shared" si="143"/>
        <v/>
      </c>
      <c r="O605" s="12" t="str">
        <f t="shared" si="144"/>
        <v/>
      </c>
      <c r="P605" s="12" t="str">
        <f t="shared" si="145"/>
        <v/>
      </c>
      <c r="Q605" s="12" t="e">
        <f t="shared" si="134"/>
        <v>#VALUE!</v>
      </c>
      <c r="R605" s="39" t="str">
        <f t="shared" si="147"/>
        <v/>
      </c>
      <c r="V605" s="12" t="str">
        <f t="shared" si="136"/>
        <v/>
      </c>
      <c r="W605" s="22" t="str">
        <f t="shared" si="135"/>
        <v/>
      </c>
    </row>
    <row r="606" spans="7:23" x14ac:dyDescent="0.25">
      <c r="G606" s="12" t="str">
        <f t="shared" si="146"/>
        <v/>
      </c>
      <c r="H606" s="12" t="str">
        <f t="shared" si="137"/>
        <v/>
      </c>
      <c r="I606" s="12" t="str">
        <f t="shared" si="138"/>
        <v/>
      </c>
      <c r="J606" s="12" t="str">
        <f t="shared" si="139"/>
        <v/>
      </c>
      <c r="K606" s="12" t="str">
        <f t="shared" si="140"/>
        <v/>
      </c>
      <c r="L606" s="12" t="str">
        <f t="shared" si="141"/>
        <v/>
      </c>
      <c r="M606" s="12" t="str">
        <f t="shared" si="142"/>
        <v/>
      </c>
      <c r="N606" s="12" t="str">
        <f t="shared" si="143"/>
        <v/>
      </c>
      <c r="O606" s="12" t="str">
        <f t="shared" si="144"/>
        <v/>
      </c>
      <c r="P606" s="12" t="str">
        <f t="shared" si="145"/>
        <v/>
      </c>
      <c r="Q606" s="12" t="e">
        <f t="shared" si="134"/>
        <v>#VALUE!</v>
      </c>
      <c r="R606" s="39" t="str">
        <f t="shared" si="147"/>
        <v/>
      </c>
      <c r="V606" s="12" t="str">
        <f t="shared" si="136"/>
        <v/>
      </c>
      <c r="W606" s="22" t="str">
        <f t="shared" si="135"/>
        <v/>
      </c>
    </row>
    <row r="607" spans="7:23" x14ac:dyDescent="0.25">
      <c r="G607" s="12" t="str">
        <f t="shared" si="146"/>
        <v/>
      </c>
      <c r="H607" s="12" t="str">
        <f t="shared" si="137"/>
        <v/>
      </c>
      <c r="I607" s="12" t="str">
        <f t="shared" si="138"/>
        <v/>
      </c>
      <c r="J607" s="12" t="str">
        <f t="shared" si="139"/>
        <v/>
      </c>
      <c r="K607" s="12" t="str">
        <f t="shared" si="140"/>
        <v/>
      </c>
      <c r="L607" s="12" t="str">
        <f t="shared" si="141"/>
        <v/>
      </c>
      <c r="M607" s="12" t="str">
        <f t="shared" si="142"/>
        <v/>
      </c>
      <c r="N607" s="12" t="str">
        <f t="shared" si="143"/>
        <v/>
      </c>
      <c r="O607" s="12" t="str">
        <f t="shared" si="144"/>
        <v/>
      </c>
      <c r="P607" s="12" t="str">
        <f t="shared" si="145"/>
        <v/>
      </c>
      <c r="Q607" s="12" t="e">
        <f t="shared" si="134"/>
        <v>#VALUE!</v>
      </c>
      <c r="R607" s="39" t="str">
        <f t="shared" si="147"/>
        <v/>
      </c>
      <c r="V607" s="12" t="str">
        <f t="shared" si="136"/>
        <v/>
      </c>
      <c r="W607" s="22" t="str">
        <f t="shared" si="135"/>
        <v/>
      </c>
    </row>
    <row r="608" spans="7:23" x14ac:dyDescent="0.25">
      <c r="G608" s="12" t="str">
        <f t="shared" si="146"/>
        <v/>
      </c>
      <c r="H608" s="12" t="str">
        <f t="shared" si="137"/>
        <v/>
      </c>
      <c r="I608" s="12" t="str">
        <f t="shared" si="138"/>
        <v/>
      </c>
      <c r="J608" s="12" t="str">
        <f t="shared" si="139"/>
        <v/>
      </c>
      <c r="K608" s="12" t="str">
        <f t="shared" si="140"/>
        <v/>
      </c>
      <c r="L608" s="12" t="str">
        <f t="shared" si="141"/>
        <v/>
      </c>
      <c r="M608" s="12" t="str">
        <f t="shared" si="142"/>
        <v/>
      </c>
      <c r="N608" s="12" t="str">
        <f t="shared" si="143"/>
        <v/>
      </c>
      <c r="O608" s="12" t="str">
        <f t="shared" si="144"/>
        <v/>
      </c>
      <c r="P608" s="12" t="str">
        <f t="shared" si="145"/>
        <v/>
      </c>
      <c r="Q608" s="12" t="e">
        <f t="shared" si="134"/>
        <v>#VALUE!</v>
      </c>
      <c r="R608" s="39" t="str">
        <f t="shared" si="147"/>
        <v/>
      </c>
      <c r="V608" s="12" t="str">
        <f t="shared" si="136"/>
        <v/>
      </c>
      <c r="W608" s="22" t="str">
        <f t="shared" si="135"/>
        <v/>
      </c>
    </row>
    <row r="609" spans="7:23" x14ac:dyDescent="0.25">
      <c r="G609" s="12" t="str">
        <f t="shared" si="146"/>
        <v/>
      </c>
      <c r="H609" s="12" t="str">
        <f t="shared" si="137"/>
        <v/>
      </c>
      <c r="I609" s="12" t="str">
        <f t="shared" si="138"/>
        <v/>
      </c>
      <c r="J609" s="12" t="str">
        <f t="shared" si="139"/>
        <v/>
      </c>
      <c r="K609" s="12" t="str">
        <f t="shared" si="140"/>
        <v/>
      </c>
      <c r="L609" s="12" t="str">
        <f t="shared" si="141"/>
        <v/>
      </c>
      <c r="M609" s="12" t="str">
        <f t="shared" si="142"/>
        <v/>
      </c>
      <c r="N609" s="12" t="str">
        <f t="shared" si="143"/>
        <v/>
      </c>
      <c r="O609" s="12" t="str">
        <f t="shared" si="144"/>
        <v/>
      </c>
      <c r="P609" s="12" t="str">
        <f t="shared" si="145"/>
        <v/>
      </c>
      <c r="Q609" s="12" t="e">
        <f t="shared" ref="Q609:Q672" si="148">G609-G608</f>
        <v>#VALUE!</v>
      </c>
      <c r="R609" s="39" t="str">
        <f t="shared" si="147"/>
        <v/>
      </c>
      <c r="V609" s="12" t="str">
        <f t="shared" si="136"/>
        <v/>
      </c>
      <c r="W609" s="22" t="str">
        <f t="shared" si="135"/>
        <v/>
      </c>
    </row>
    <row r="610" spans="7:23" x14ac:dyDescent="0.25">
      <c r="G610" s="12" t="str">
        <f t="shared" si="146"/>
        <v/>
      </c>
      <c r="H610" s="12" t="str">
        <f t="shared" si="137"/>
        <v/>
      </c>
      <c r="I610" s="12" t="str">
        <f t="shared" si="138"/>
        <v/>
      </c>
      <c r="J610" s="12" t="str">
        <f t="shared" si="139"/>
        <v/>
      </c>
      <c r="K610" s="12" t="str">
        <f t="shared" si="140"/>
        <v/>
      </c>
      <c r="L610" s="12" t="str">
        <f t="shared" si="141"/>
        <v/>
      </c>
      <c r="M610" s="12" t="str">
        <f t="shared" si="142"/>
        <v/>
      </c>
      <c r="N610" s="12" t="str">
        <f t="shared" si="143"/>
        <v/>
      </c>
      <c r="O610" s="12" t="str">
        <f t="shared" si="144"/>
        <v/>
      </c>
      <c r="P610" s="12" t="str">
        <f t="shared" si="145"/>
        <v/>
      </c>
      <c r="Q610" s="12" t="e">
        <f t="shared" si="148"/>
        <v>#VALUE!</v>
      </c>
      <c r="R610" s="39" t="str">
        <f t="shared" si="147"/>
        <v/>
      </c>
      <c r="V610" s="12" t="str">
        <f t="shared" si="136"/>
        <v/>
      </c>
      <c r="W610" s="22" t="str">
        <f t="shared" si="135"/>
        <v/>
      </c>
    </row>
    <row r="611" spans="7:23" x14ac:dyDescent="0.25">
      <c r="G611" s="12" t="str">
        <f t="shared" si="146"/>
        <v/>
      </c>
      <c r="H611" s="12" t="str">
        <f t="shared" si="137"/>
        <v/>
      </c>
      <c r="I611" s="12" t="str">
        <f t="shared" si="138"/>
        <v/>
      </c>
      <c r="J611" s="12" t="str">
        <f t="shared" si="139"/>
        <v/>
      </c>
      <c r="K611" s="12" t="str">
        <f t="shared" si="140"/>
        <v/>
      </c>
      <c r="L611" s="12" t="str">
        <f t="shared" si="141"/>
        <v/>
      </c>
      <c r="M611" s="12" t="str">
        <f t="shared" si="142"/>
        <v/>
      </c>
      <c r="N611" s="12" t="str">
        <f t="shared" si="143"/>
        <v/>
      </c>
      <c r="O611" s="12" t="str">
        <f t="shared" si="144"/>
        <v/>
      </c>
      <c r="P611" s="12" t="str">
        <f t="shared" si="145"/>
        <v/>
      </c>
      <c r="Q611" s="12" t="e">
        <f t="shared" si="148"/>
        <v>#VALUE!</v>
      </c>
      <c r="R611" s="39" t="str">
        <f t="shared" si="147"/>
        <v/>
      </c>
      <c r="V611" s="12" t="str">
        <f t="shared" si="136"/>
        <v/>
      </c>
      <c r="W611" s="22" t="str">
        <f t="shared" si="135"/>
        <v/>
      </c>
    </row>
    <row r="612" spans="7:23" x14ac:dyDescent="0.25">
      <c r="G612" s="12" t="str">
        <f t="shared" si="146"/>
        <v/>
      </c>
      <c r="H612" s="12" t="str">
        <f t="shared" si="137"/>
        <v/>
      </c>
      <c r="I612" s="12" t="str">
        <f t="shared" si="138"/>
        <v/>
      </c>
      <c r="J612" s="12" t="str">
        <f t="shared" si="139"/>
        <v/>
      </c>
      <c r="K612" s="12" t="str">
        <f t="shared" si="140"/>
        <v/>
      </c>
      <c r="L612" s="12" t="str">
        <f t="shared" si="141"/>
        <v/>
      </c>
      <c r="M612" s="12" t="str">
        <f t="shared" si="142"/>
        <v/>
      </c>
      <c r="N612" s="12" t="str">
        <f t="shared" si="143"/>
        <v/>
      </c>
      <c r="O612" s="12" t="str">
        <f t="shared" si="144"/>
        <v/>
      </c>
      <c r="P612" s="12" t="str">
        <f t="shared" si="145"/>
        <v/>
      </c>
      <c r="Q612" s="12" t="e">
        <f t="shared" si="148"/>
        <v>#VALUE!</v>
      </c>
      <c r="R612" s="39" t="str">
        <f t="shared" si="147"/>
        <v/>
      </c>
      <c r="V612" s="12" t="str">
        <f t="shared" si="136"/>
        <v/>
      </c>
      <c r="W612" s="22" t="str">
        <f t="shared" si="135"/>
        <v/>
      </c>
    </row>
    <row r="613" spans="7:23" x14ac:dyDescent="0.25">
      <c r="G613" s="12" t="str">
        <f t="shared" si="146"/>
        <v/>
      </c>
      <c r="H613" s="12" t="str">
        <f t="shared" si="137"/>
        <v/>
      </c>
      <c r="I613" s="12" t="str">
        <f t="shared" si="138"/>
        <v/>
      </c>
      <c r="J613" s="12" t="str">
        <f t="shared" si="139"/>
        <v/>
      </c>
      <c r="K613" s="12" t="str">
        <f t="shared" si="140"/>
        <v/>
      </c>
      <c r="L613" s="12" t="str">
        <f t="shared" si="141"/>
        <v/>
      </c>
      <c r="M613" s="12" t="str">
        <f t="shared" si="142"/>
        <v/>
      </c>
      <c r="N613" s="12" t="str">
        <f t="shared" si="143"/>
        <v/>
      </c>
      <c r="O613" s="12" t="str">
        <f t="shared" si="144"/>
        <v/>
      </c>
      <c r="P613" s="12" t="str">
        <f t="shared" si="145"/>
        <v/>
      </c>
      <c r="Q613" s="12" t="e">
        <f t="shared" si="148"/>
        <v>#VALUE!</v>
      </c>
      <c r="R613" s="39" t="str">
        <f t="shared" si="147"/>
        <v/>
      </c>
      <c r="V613" s="12" t="str">
        <f t="shared" si="136"/>
        <v/>
      </c>
      <c r="W613" s="22" t="str">
        <f t="shared" si="135"/>
        <v/>
      </c>
    </row>
    <row r="614" spans="7:23" x14ac:dyDescent="0.25">
      <c r="G614" s="12" t="str">
        <f t="shared" si="146"/>
        <v/>
      </c>
      <c r="H614" s="12" t="str">
        <f t="shared" si="137"/>
        <v/>
      </c>
      <c r="I614" s="12" t="str">
        <f t="shared" si="138"/>
        <v/>
      </c>
      <c r="J614" s="12" t="str">
        <f t="shared" si="139"/>
        <v/>
      </c>
      <c r="K614" s="12" t="str">
        <f t="shared" si="140"/>
        <v/>
      </c>
      <c r="L614" s="12" t="str">
        <f t="shared" si="141"/>
        <v/>
      </c>
      <c r="M614" s="12" t="str">
        <f t="shared" si="142"/>
        <v/>
      </c>
      <c r="N614" s="12" t="str">
        <f t="shared" si="143"/>
        <v/>
      </c>
      <c r="O614" s="12" t="str">
        <f t="shared" si="144"/>
        <v/>
      </c>
      <c r="P614" s="12" t="str">
        <f t="shared" si="145"/>
        <v/>
      </c>
      <c r="Q614" s="12" t="e">
        <f t="shared" si="148"/>
        <v>#VALUE!</v>
      </c>
      <c r="R614" s="39" t="str">
        <f t="shared" si="147"/>
        <v/>
      </c>
      <c r="V614" s="12" t="str">
        <f t="shared" si="136"/>
        <v/>
      </c>
      <c r="W614" s="22" t="str">
        <f t="shared" si="135"/>
        <v/>
      </c>
    </row>
    <row r="615" spans="7:23" x14ac:dyDescent="0.25">
      <c r="G615" s="12" t="str">
        <f t="shared" si="146"/>
        <v/>
      </c>
      <c r="H615" s="12" t="str">
        <f t="shared" si="137"/>
        <v/>
      </c>
      <c r="I615" s="12" t="str">
        <f t="shared" si="138"/>
        <v/>
      </c>
      <c r="J615" s="12" t="str">
        <f t="shared" si="139"/>
        <v/>
      </c>
      <c r="K615" s="12" t="str">
        <f t="shared" si="140"/>
        <v/>
      </c>
      <c r="L615" s="12" t="str">
        <f t="shared" si="141"/>
        <v/>
      </c>
      <c r="M615" s="12" t="str">
        <f t="shared" si="142"/>
        <v/>
      </c>
      <c r="N615" s="12" t="str">
        <f t="shared" si="143"/>
        <v/>
      </c>
      <c r="O615" s="12" t="str">
        <f t="shared" si="144"/>
        <v/>
      </c>
      <c r="P615" s="12" t="str">
        <f t="shared" si="145"/>
        <v/>
      </c>
      <c r="Q615" s="12" t="e">
        <f t="shared" si="148"/>
        <v>#VALUE!</v>
      </c>
      <c r="R615" s="39" t="str">
        <f t="shared" si="147"/>
        <v/>
      </c>
      <c r="V615" s="12" t="str">
        <f t="shared" si="136"/>
        <v/>
      </c>
      <c r="W615" s="22" t="str">
        <f t="shared" si="135"/>
        <v/>
      </c>
    </row>
    <row r="616" spans="7:23" x14ac:dyDescent="0.25">
      <c r="G616" s="12" t="str">
        <f t="shared" si="146"/>
        <v/>
      </c>
      <c r="H616" s="12" t="str">
        <f t="shared" si="137"/>
        <v/>
      </c>
      <c r="I616" s="12" t="str">
        <f t="shared" si="138"/>
        <v/>
      </c>
      <c r="J616" s="12" t="str">
        <f t="shared" si="139"/>
        <v/>
      </c>
      <c r="K616" s="12" t="str">
        <f t="shared" si="140"/>
        <v/>
      </c>
      <c r="L616" s="12" t="str">
        <f t="shared" si="141"/>
        <v/>
      </c>
      <c r="M616" s="12" t="str">
        <f t="shared" si="142"/>
        <v/>
      </c>
      <c r="N616" s="12" t="str">
        <f t="shared" si="143"/>
        <v/>
      </c>
      <c r="O616" s="12" t="str">
        <f t="shared" si="144"/>
        <v/>
      </c>
      <c r="P616" s="12" t="str">
        <f t="shared" si="145"/>
        <v/>
      </c>
      <c r="Q616" s="12" t="e">
        <f t="shared" si="148"/>
        <v>#VALUE!</v>
      </c>
      <c r="R616" s="39" t="str">
        <f t="shared" si="147"/>
        <v/>
      </c>
      <c r="V616" s="12" t="str">
        <f t="shared" si="136"/>
        <v/>
      </c>
      <c r="W616" s="22" t="str">
        <f t="shared" si="135"/>
        <v/>
      </c>
    </row>
    <row r="617" spans="7:23" x14ac:dyDescent="0.25">
      <c r="G617" s="12" t="str">
        <f t="shared" si="146"/>
        <v/>
      </c>
      <c r="H617" s="12" t="str">
        <f t="shared" si="137"/>
        <v/>
      </c>
      <c r="I617" s="12" t="str">
        <f t="shared" si="138"/>
        <v/>
      </c>
      <c r="J617" s="12" t="str">
        <f t="shared" si="139"/>
        <v/>
      </c>
      <c r="K617" s="12" t="str">
        <f t="shared" si="140"/>
        <v/>
      </c>
      <c r="L617" s="12" t="str">
        <f t="shared" si="141"/>
        <v/>
      </c>
      <c r="M617" s="12" t="str">
        <f t="shared" si="142"/>
        <v/>
      </c>
      <c r="N617" s="12" t="str">
        <f t="shared" si="143"/>
        <v/>
      </c>
      <c r="O617" s="12" t="str">
        <f t="shared" si="144"/>
        <v/>
      </c>
      <c r="P617" s="12" t="str">
        <f t="shared" si="145"/>
        <v/>
      </c>
      <c r="Q617" s="12" t="e">
        <f t="shared" si="148"/>
        <v>#VALUE!</v>
      </c>
      <c r="R617" s="39" t="str">
        <f t="shared" si="147"/>
        <v/>
      </c>
      <c r="V617" s="12" t="str">
        <f t="shared" si="136"/>
        <v/>
      </c>
      <c r="W617" s="22" t="str">
        <f t="shared" si="135"/>
        <v/>
      </c>
    </row>
    <row r="618" spans="7:23" x14ac:dyDescent="0.25">
      <c r="G618" s="12" t="str">
        <f t="shared" si="146"/>
        <v/>
      </c>
      <c r="H618" s="12" t="str">
        <f t="shared" si="137"/>
        <v/>
      </c>
      <c r="I618" s="12" t="str">
        <f t="shared" si="138"/>
        <v/>
      </c>
      <c r="J618" s="12" t="str">
        <f t="shared" si="139"/>
        <v/>
      </c>
      <c r="K618" s="12" t="str">
        <f t="shared" si="140"/>
        <v/>
      </c>
      <c r="L618" s="12" t="str">
        <f t="shared" si="141"/>
        <v/>
      </c>
      <c r="M618" s="12" t="str">
        <f t="shared" si="142"/>
        <v/>
      </c>
      <c r="N618" s="12" t="str">
        <f t="shared" si="143"/>
        <v/>
      </c>
      <c r="O618" s="12" t="str">
        <f t="shared" si="144"/>
        <v/>
      </c>
      <c r="P618" s="12" t="str">
        <f t="shared" si="145"/>
        <v/>
      </c>
      <c r="Q618" s="12" t="e">
        <f t="shared" si="148"/>
        <v>#VALUE!</v>
      </c>
      <c r="R618" s="39" t="str">
        <f t="shared" si="147"/>
        <v/>
      </c>
      <c r="V618" s="12" t="str">
        <f t="shared" si="136"/>
        <v/>
      </c>
      <c r="W618" s="22" t="str">
        <f t="shared" si="135"/>
        <v/>
      </c>
    </row>
    <row r="619" spans="7:23" x14ac:dyDescent="0.25">
      <c r="G619" s="12" t="str">
        <f t="shared" si="146"/>
        <v/>
      </c>
      <c r="H619" s="12" t="str">
        <f t="shared" si="137"/>
        <v/>
      </c>
      <c r="I619" s="12" t="str">
        <f t="shared" si="138"/>
        <v/>
      </c>
      <c r="J619" s="12" t="str">
        <f t="shared" si="139"/>
        <v/>
      </c>
      <c r="K619" s="12" t="str">
        <f t="shared" si="140"/>
        <v/>
      </c>
      <c r="L619" s="12" t="str">
        <f t="shared" si="141"/>
        <v/>
      </c>
      <c r="M619" s="12" t="str">
        <f t="shared" si="142"/>
        <v/>
      </c>
      <c r="N619" s="12" t="str">
        <f t="shared" si="143"/>
        <v/>
      </c>
      <c r="O619" s="12" t="str">
        <f t="shared" si="144"/>
        <v/>
      </c>
      <c r="P619" s="12" t="str">
        <f t="shared" si="145"/>
        <v/>
      </c>
      <c r="Q619" s="12" t="e">
        <f t="shared" si="148"/>
        <v>#VALUE!</v>
      </c>
      <c r="R619" s="39" t="str">
        <f t="shared" si="147"/>
        <v/>
      </c>
      <c r="V619" s="12" t="str">
        <f t="shared" si="136"/>
        <v/>
      </c>
      <c r="W619" s="22" t="str">
        <f t="shared" si="135"/>
        <v/>
      </c>
    </row>
    <row r="620" spans="7:23" x14ac:dyDescent="0.25">
      <c r="G620" s="12" t="str">
        <f t="shared" si="146"/>
        <v/>
      </c>
      <c r="H620" s="12" t="str">
        <f t="shared" si="137"/>
        <v/>
      </c>
      <c r="I620" s="12" t="str">
        <f t="shared" si="138"/>
        <v/>
      </c>
      <c r="J620" s="12" t="str">
        <f t="shared" si="139"/>
        <v/>
      </c>
      <c r="K620" s="12" t="str">
        <f t="shared" si="140"/>
        <v/>
      </c>
      <c r="L620" s="12" t="str">
        <f t="shared" si="141"/>
        <v/>
      </c>
      <c r="M620" s="12" t="str">
        <f t="shared" si="142"/>
        <v/>
      </c>
      <c r="N620" s="12" t="str">
        <f t="shared" si="143"/>
        <v/>
      </c>
      <c r="O620" s="12" t="str">
        <f t="shared" si="144"/>
        <v/>
      </c>
      <c r="P620" s="12" t="str">
        <f t="shared" si="145"/>
        <v/>
      </c>
      <c r="Q620" s="12" t="e">
        <f t="shared" si="148"/>
        <v>#VALUE!</v>
      </c>
      <c r="R620" s="39" t="str">
        <f t="shared" si="147"/>
        <v/>
      </c>
      <c r="V620" s="12" t="str">
        <f t="shared" si="136"/>
        <v/>
      </c>
      <c r="W620" s="22" t="str">
        <f t="shared" si="135"/>
        <v/>
      </c>
    </row>
    <row r="621" spans="7:23" x14ac:dyDescent="0.25">
      <c r="G621" s="12" t="str">
        <f t="shared" si="146"/>
        <v/>
      </c>
      <c r="H621" s="12" t="str">
        <f t="shared" si="137"/>
        <v/>
      </c>
      <c r="I621" s="12" t="str">
        <f t="shared" si="138"/>
        <v/>
      </c>
      <c r="J621" s="12" t="str">
        <f t="shared" si="139"/>
        <v/>
      </c>
      <c r="K621" s="12" t="str">
        <f t="shared" si="140"/>
        <v/>
      </c>
      <c r="L621" s="12" t="str">
        <f t="shared" si="141"/>
        <v/>
      </c>
      <c r="M621" s="12" t="str">
        <f t="shared" si="142"/>
        <v/>
      </c>
      <c r="N621" s="12" t="str">
        <f t="shared" si="143"/>
        <v/>
      </c>
      <c r="O621" s="12" t="str">
        <f t="shared" si="144"/>
        <v/>
      </c>
      <c r="P621" s="12" t="str">
        <f t="shared" si="145"/>
        <v/>
      </c>
      <c r="Q621" s="12" t="e">
        <f t="shared" si="148"/>
        <v>#VALUE!</v>
      </c>
      <c r="R621" s="39" t="str">
        <f t="shared" si="147"/>
        <v/>
      </c>
      <c r="V621" s="12" t="str">
        <f t="shared" si="136"/>
        <v/>
      </c>
      <c r="W621" s="22" t="str">
        <f t="shared" si="135"/>
        <v/>
      </c>
    </row>
    <row r="622" spans="7:23" x14ac:dyDescent="0.25">
      <c r="G622" s="12" t="str">
        <f t="shared" si="146"/>
        <v/>
      </c>
      <c r="H622" s="12" t="str">
        <f t="shared" si="137"/>
        <v/>
      </c>
      <c r="I622" s="12" t="str">
        <f t="shared" si="138"/>
        <v/>
      </c>
      <c r="J622" s="12" t="str">
        <f t="shared" si="139"/>
        <v/>
      </c>
      <c r="K622" s="12" t="str">
        <f t="shared" si="140"/>
        <v/>
      </c>
      <c r="L622" s="12" t="str">
        <f t="shared" si="141"/>
        <v/>
      </c>
      <c r="M622" s="12" t="str">
        <f t="shared" si="142"/>
        <v/>
      </c>
      <c r="N622" s="12" t="str">
        <f t="shared" si="143"/>
        <v/>
      </c>
      <c r="O622" s="12" t="str">
        <f t="shared" si="144"/>
        <v/>
      </c>
      <c r="P622" s="12" t="str">
        <f t="shared" si="145"/>
        <v/>
      </c>
      <c r="Q622" s="12" t="e">
        <f t="shared" si="148"/>
        <v>#VALUE!</v>
      </c>
      <c r="R622" s="39" t="str">
        <f t="shared" si="147"/>
        <v/>
      </c>
      <c r="V622" s="12" t="str">
        <f t="shared" si="136"/>
        <v/>
      </c>
      <c r="W622" s="22" t="str">
        <f t="shared" si="135"/>
        <v/>
      </c>
    </row>
    <row r="623" spans="7:23" x14ac:dyDescent="0.25">
      <c r="G623" s="12" t="str">
        <f t="shared" si="146"/>
        <v/>
      </c>
      <c r="H623" s="12" t="str">
        <f t="shared" si="137"/>
        <v/>
      </c>
      <c r="I623" s="12" t="str">
        <f t="shared" si="138"/>
        <v/>
      </c>
      <c r="J623" s="12" t="str">
        <f t="shared" si="139"/>
        <v/>
      </c>
      <c r="K623" s="12" t="str">
        <f t="shared" si="140"/>
        <v/>
      </c>
      <c r="L623" s="12" t="str">
        <f t="shared" si="141"/>
        <v/>
      </c>
      <c r="M623" s="12" t="str">
        <f t="shared" si="142"/>
        <v/>
      </c>
      <c r="N623" s="12" t="str">
        <f t="shared" si="143"/>
        <v/>
      </c>
      <c r="O623" s="12" t="str">
        <f t="shared" si="144"/>
        <v/>
      </c>
      <c r="P623" s="12" t="str">
        <f t="shared" si="145"/>
        <v/>
      </c>
      <c r="Q623" s="12" t="e">
        <f t="shared" si="148"/>
        <v>#VALUE!</v>
      </c>
      <c r="R623" s="39" t="str">
        <f t="shared" si="147"/>
        <v/>
      </c>
      <c r="V623" s="12" t="str">
        <f t="shared" si="136"/>
        <v/>
      </c>
      <c r="W623" s="22" t="str">
        <f t="shared" si="135"/>
        <v/>
      </c>
    </row>
    <row r="624" spans="7:23" x14ac:dyDescent="0.25">
      <c r="G624" s="12" t="str">
        <f t="shared" si="146"/>
        <v/>
      </c>
      <c r="H624" s="12" t="str">
        <f t="shared" si="137"/>
        <v/>
      </c>
      <c r="I624" s="12" t="str">
        <f t="shared" si="138"/>
        <v/>
      </c>
      <c r="J624" s="12" t="str">
        <f t="shared" si="139"/>
        <v/>
      </c>
      <c r="K624" s="12" t="str">
        <f t="shared" si="140"/>
        <v/>
      </c>
      <c r="L624" s="12" t="str">
        <f t="shared" si="141"/>
        <v/>
      </c>
      <c r="M624" s="12" t="str">
        <f t="shared" si="142"/>
        <v/>
      </c>
      <c r="N624" s="12" t="str">
        <f t="shared" si="143"/>
        <v/>
      </c>
      <c r="O624" s="12" t="str">
        <f t="shared" si="144"/>
        <v/>
      </c>
      <c r="P624" s="12" t="str">
        <f t="shared" si="145"/>
        <v/>
      </c>
      <c r="Q624" s="12" t="e">
        <f t="shared" si="148"/>
        <v>#VALUE!</v>
      </c>
      <c r="R624" s="39" t="str">
        <f t="shared" si="147"/>
        <v/>
      </c>
      <c r="V624" s="12" t="str">
        <f t="shared" si="136"/>
        <v/>
      </c>
      <c r="W624" s="22" t="str">
        <f t="shared" si="135"/>
        <v/>
      </c>
    </row>
    <row r="625" spans="7:23" x14ac:dyDescent="0.25">
      <c r="G625" s="12" t="str">
        <f t="shared" si="146"/>
        <v/>
      </c>
      <c r="H625" s="12" t="str">
        <f t="shared" si="137"/>
        <v/>
      </c>
      <c r="I625" s="12" t="str">
        <f t="shared" si="138"/>
        <v/>
      </c>
      <c r="J625" s="12" t="str">
        <f t="shared" si="139"/>
        <v/>
      </c>
      <c r="K625" s="12" t="str">
        <f t="shared" si="140"/>
        <v/>
      </c>
      <c r="L625" s="12" t="str">
        <f t="shared" si="141"/>
        <v/>
      </c>
      <c r="M625" s="12" t="str">
        <f t="shared" si="142"/>
        <v/>
      </c>
      <c r="N625" s="12" t="str">
        <f t="shared" si="143"/>
        <v/>
      </c>
      <c r="O625" s="12" t="str">
        <f t="shared" si="144"/>
        <v/>
      </c>
      <c r="P625" s="12" t="str">
        <f t="shared" si="145"/>
        <v/>
      </c>
      <c r="Q625" s="12" t="e">
        <f t="shared" si="148"/>
        <v>#VALUE!</v>
      </c>
      <c r="R625" s="39" t="str">
        <f t="shared" si="147"/>
        <v/>
      </c>
      <c r="V625" s="12" t="str">
        <f t="shared" si="136"/>
        <v/>
      </c>
      <c r="W625" s="22" t="str">
        <f t="shared" si="135"/>
        <v/>
      </c>
    </row>
    <row r="626" spans="7:23" x14ac:dyDescent="0.25">
      <c r="G626" s="12" t="str">
        <f t="shared" si="146"/>
        <v/>
      </c>
      <c r="H626" s="12" t="str">
        <f t="shared" si="137"/>
        <v/>
      </c>
      <c r="I626" s="12" t="str">
        <f t="shared" si="138"/>
        <v/>
      </c>
      <c r="J626" s="12" t="str">
        <f t="shared" si="139"/>
        <v/>
      </c>
      <c r="K626" s="12" t="str">
        <f t="shared" si="140"/>
        <v/>
      </c>
      <c r="L626" s="12" t="str">
        <f t="shared" si="141"/>
        <v/>
      </c>
      <c r="M626" s="12" t="str">
        <f t="shared" si="142"/>
        <v/>
      </c>
      <c r="N626" s="12" t="str">
        <f t="shared" si="143"/>
        <v/>
      </c>
      <c r="O626" s="12" t="str">
        <f t="shared" si="144"/>
        <v/>
      </c>
      <c r="P626" s="12" t="str">
        <f t="shared" si="145"/>
        <v/>
      </c>
      <c r="Q626" s="12" t="e">
        <f t="shared" si="148"/>
        <v>#VALUE!</v>
      </c>
      <c r="R626" s="39" t="str">
        <f t="shared" si="147"/>
        <v/>
      </c>
      <c r="V626" s="12" t="str">
        <f t="shared" si="136"/>
        <v/>
      </c>
      <c r="W626" s="22" t="str">
        <f t="shared" si="135"/>
        <v/>
      </c>
    </row>
    <row r="627" spans="7:23" x14ac:dyDescent="0.25">
      <c r="G627" s="12" t="str">
        <f t="shared" si="146"/>
        <v/>
      </c>
      <c r="H627" s="12" t="str">
        <f t="shared" si="137"/>
        <v/>
      </c>
      <c r="I627" s="12" t="str">
        <f t="shared" si="138"/>
        <v/>
      </c>
      <c r="J627" s="12" t="str">
        <f t="shared" si="139"/>
        <v/>
      </c>
      <c r="K627" s="12" t="str">
        <f t="shared" si="140"/>
        <v/>
      </c>
      <c r="L627" s="12" t="str">
        <f t="shared" si="141"/>
        <v/>
      </c>
      <c r="M627" s="12" t="str">
        <f t="shared" si="142"/>
        <v/>
      </c>
      <c r="N627" s="12" t="str">
        <f t="shared" si="143"/>
        <v/>
      </c>
      <c r="O627" s="12" t="str">
        <f t="shared" si="144"/>
        <v/>
      </c>
      <c r="P627" s="12" t="str">
        <f t="shared" si="145"/>
        <v/>
      </c>
      <c r="Q627" s="12" t="e">
        <f t="shared" si="148"/>
        <v>#VALUE!</v>
      </c>
      <c r="R627" s="39" t="str">
        <f t="shared" si="147"/>
        <v/>
      </c>
      <c r="V627" s="12" t="str">
        <f t="shared" si="136"/>
        <v/>
      </c>
      <c r="W627" s="22" t="str">
        <f t="shared" si="135"/>
        <v/>
      </c>
    </row>
    <row r="628" spans="7:23" x14ac:dyDescent="0.25">
      <c r="G628" s="12" t="str">
        <f t="shared" si="146"/>
        <v/>
      </c>
      <c r="H628" s="12" t="str">
        <f t="shared" si="137"/>
        <v/>
      </c>
      <c r="I628" s="12" t="str">
        <f t="shared" si="138"/>
        <v/>
      </c>
      <c r="J628" s="12" t="str">
        <f t="shared" si="139"/>
        <v/>
      </c>
      <c r="K628" s="12" t="str">
        <f t="shared" si="140"/>
        <v/>
      </c>
      <c r="L628" s="12" t="str">
        <f t="shared" si="141"/>
        <v/>
      </c>
      <c r="M628" s="12" t="str">
        <f t="shared" si="142"/>
        <v/>
      </c>
      <c r="N628" s="12" t="str">
        <f t="shared" si="143"/>
        <v/>
      </c>
      <c r="O628" s="12" t="str">
        <f t="shared" si="144"/>
        <v/>
      </c>
      <c r="P628" s="12" t="str">
        <f t="shared" si="145"/>
        <v/>
      </c>
      <c r="Q628" s="12" t="e">
        <f t="shared" si="148"/>
        <v>#VALUE!</v>
      </c>
      <c r="R628" s="39" t="str">
        <f t="shared" si="147"/>
        <v/>
      </c>
      <c r="V628" s="12" t="str">
        <f t="shared" si="136"/>
        <v/>
      </c>
      <c r="W628" s="22" t="str">
        <f t="shared" si="135"/>
        <v/>
      </c>
    </row>
    <row r="629" spans="7:23" x14ac:dyDescent="0.25">
      <c r="G629" s="12" t="str">
        <f t="shared" si="146"/>
        <v/>
      </c>
      <c r="H629" s="12" t="str">
        <f t="shared" si="137"/>
        <v/>
      </c>
      <c r="I629" s="12" t="str">
        <f t="shared" si="138"/>
        <v/>
      </c>
      <c r="J629" s="12" t="str">
        <f t="shared" si="139"/>
        <v/>
      </c>
      <c r="K629" s="12" t="str">
        <f t="shared" si="140"/>
        <v/>
      </c>
      <c r="L629" s="12" t="str">
        <f t="shared" si="141"/>
        <v/>
      </c>
      <c r="M629" s="12" t="str">
        <f t="shared" si="142"/>
        <v/>
      </c>
      <c r="N629" s="12" t="str">
        <f t="shared" si="143"/>
        <v/>
      </c>
      <c r="O629" s="12" t="str">
        <f t="shared" si="144"/>
        <v/>
      </c>
      <c r="P629" s="12" t="str">
        <f t="shared" si="145"/>
        <v/>
      </c>
      <c r="Q629" s="12" t="e">
        <f t="shared" si="148"/>
        <v>#VALUE!</v>
      </c>
      <c r="R629" s="39" t="str">
        <f t="shared" si="147"/>
        <v/>
      </c>
      <c r="V629" s="12" t="str">
        <f t="shared" si="136"/>
        <v/>
      </c>
      <c r="W629" s="22" t="str">
        <f t="shared" si="135"/>
        <v/>
      </c>
    </row>
    <row r="630" spans="7:23" x14ac:dyDescent="0.25">
      <c r="G630" s="12" t="str">
        <f t="shared" si="146"/>
        <v/>
      </c>
      <c r="H630" s="12" t="str">
        <f t="shared" si="137"/>
        <v/>
      </c>
      <c r="I630" s="12" t="str">
        <f t="shared" si="138"/>
        <v/>
      </c>
      <c r="J630" s="12" t="str">
        <f t="shared" si="139"/>
        <v/>
      </c>
      <c r="K630" s="12" t="str">
        <f t="shared" si="140"/>
        <v/>
      </c>
      <c r="L630" s="12" t="str">
        <f t="shared" si="141"/>
        <v/>
      </c>
      <c r="M630" s="12" t="str">
        <f t="shared" si="142"/>
        <v/>
      </c>
      <c r="N630" s="12" t="str">
        <f t="shared" si="143"/>
        <v/>
      </c>
      <c r="O630" s="12" t="str">
        <f t="shared" si="144"/>
        <v/>
      </c>
      <c r="P630" s="12" t="str">
        <f t="shared" si="145"/>
        <v/>
      </c>
      <c r="Q630" s="12" t="e">
        <f t="shared" si="148"/>
        <v>#VALUE!</v>
      </c>
      <c r="R630" s="39" t="str">
        <f t="shared" si="147"/>
        <v/>
      </c>
      <c r="V630" s="12" t="str">
        <f t="shared" si="136"/>
        <v/>
      </c>
      <c r="W630" s="22" t="str">
        <f t="shared" ref="W630:W693" si="149">_xlfn.IFS(V630="","",SECOND(V630)&lt;10,"",  (HOUR(V630)*3600+MINUTE(V630)*60+SECOND(V630))&gt;60,"", (HOUR(V630)*3600+MINUTE(V630)*60+SECOND(V630))&lt;60, HOUR(V630)*3600+MINUTE(V630)*60+SECOND(V630))</f>
        <v/>
      </c>
    </row>
    <row r="631" spans="7:23" x14ac:dyDescent="0.25">
      <c r="G631" s="12" t="str">
        <f t="shared" si="146"/>
        <v/>
      </c>
      <c r="H631" s="12" t="str">
        <f t="shared" si="137"/>
        <v/>
      </c>
      <c r="I631" s="12" t="str">
        <f t="shared" si="138"/>
        <v/>
      </c>
      <c r="J631" s="12" t="str">
        <f t="shared" si="139"/>
        <v/>
      </c>
      <c r="K631" s="12" t="str">
        <f t="shared" si="140"/>
        <v/>
      </c>
      <c r="L631" s="12" t="str">
        <f t="shared" si="141"/>
        <v/>
      </c>
      <c r="M631" s="12" t="str">
        <f t="shared" si="142"/>
        <v/>
      </c>
      <c r="N631" s="12" t="str">
        <f t="shared" si="143"/>
        <v/>
      </c>
      <c r="O631" s="12" t="str">
        <f t="shared" si="144"/>
        <v/>
      </c>
      <c r="P631" s="12" t="str">
        <f t="shared" si="145"/>
        <v/>
      </c>
      <c r="Q631" s="12" t="e">
        <f t="shared" si="148"/>
        <v>#VALUE!</v>
      </c>
      <c r="R631" s="39" t="str">
        <f t="shared" si="147"/>
        <v/>
      </c>
      <c r="V631" s="12" t="str">
        <f t="shared" si="136"/>
        <v/>
      </c>
      <c r="W631" s="22" t="str">
        <f t="shared" si="149"/>
        <v/>
      </c>
    </row>
    <row r="632" spans="7:23" x14ac:dyDescent="0.25">
      <c r="G632" s="12" t="str">
        <f t="shared" si="146"/>
        <v/>
      </c>
      <c r="H632" s="12" t="str">
        <f t="shared" si="137"/>
        <v/>
      </c>
      <c r="I632" s="12" t="str">
        <f t="shared" si="138"/>
        <v/>
      </c>
      <c r="J632" s="12" t="str">
        <f t="shared" si="139"/>
        <v/>
      </c>
      <c r="K632" s="12" t="str">
        <f t="shared" si="140"/>
        <v/>
      </c>
      <c r="L632" s="12" t="str">
        <f t="shared" si="141"/>
        <v/>
      </c>
      <c r="M632" s="12" t="str">
        <f t="shared" si="142"/>
        <v/>
      </c>
      <c r="N632" s="12" t="str">
        <f t="shared" si="143"/>
        <v/>
      </c>
      <c r="O632" s="12" t="str">
        <f t="shared" si="144"/>
        <v/>
      </c>
      <c r="P632" s="12" t="str">
        <f t="shared" si="145"/>
        <v/>
      </c>
      <c r="Q632" s="12" t="e">
        <f t="shared" si="148"/>
        <v>#VALUE!</v>
      </c>
      <c r="R632" s="39" t="str">
        <f t="shared" si="147"/>
        <v/>
      </c>
      <c r="V632" s="12" t="str">
        <f t="shared" si="136"/>
        <v/>
      </c>
      <c r="W632" s="22" t="str">
        <f t="shared" si="149"/>
        <v/>
      </c>
    </row>
    <row r="633" spans="7:23" x14ac:dyDescent="0.25">
      <c r="G633" s="12" t="str">
        <f t="shared" si="146"/>
        <v/>
      </c>
      <c r="H633" s="12" t="str">
        <f t="shared" si="137"/>
        <v/>
      </c>
      <c r="I633" s="12" t="str">
        <f t="shared" si="138"/>
        <v/>
      </c>
      <c r="J633" s="12" t="str">
        <f t="shared" si="139"/>
        <v/>
      </c>
      <c r="K633" s="12" t="str">
        <f t="shared" si="140"/>
        <v/>
      </c>
      <c r="L633" s="12" t="str">
        <f t="shared" si="141"/>
        <v/>
      </c>
      <c r="M633" s="12" t="str">
        <f t="shared" si="142"/>
        <v/>
      </c>
      <c r="N633" s="12" t="str">
        <f t="shared" si="143"/>
        <v/>
      </c>
      <c r="O633" s="12" t="str">
        <f t="shared" si="144"/>
        <v/>
      </c>
      <c r="P633" s="12" t="str">
        <f t="shared" si="145"/>
        <v/>
      </c>
      <c r="Q633" s="12" t="e">
        <f t="shared" si="148"/>
        <v>#VALUE!</v>
      </c>
      <c r="R633" s="39" t="str">
        <f t="shared" si="147"/>
        <v/>
      </c>
      <c r="V633" s="12" t="str">
        <f t="shared" si="136"/>
        <v/>
      </c>
      <c r="W633" s="22" t="str">
        <f t="shared" si="149"/>
        <v/>
      </c>
    </row>
    <row r="634" spans="7:23" x14ac:dyDescent="0.25">
      <c r="G634" s="12" t="str">
        <f t="shared" si="146"/>
        <v/>
      </c>
      <c r="H634" s="12" t="str">
        <f t="shared" si="137"/>
        <v/>
      </c>
      <c r="I634" s="12" t="str">
        <f t="shared" si="138"/>
        <v/>
      </c>
      <c r="J634" s="12" t="str">
        <f t="shared" si="139"/>
        <v/>
      </c>
      <c r="K634" s="12" t="str">
        <f t="shared" si="140"/>
        <v/>
      </c>
      <c r="L634" s="12" t="str">
        <f t="shared" si="141"/>
        <v/>
      </c>
      <c r="M634" s="12" t="str">
        <f t="shared" si="142"/>
        <v/>
      </c>
      <c r="N634" s="12" t="str">
        <f t="shared" si="143"/>
        <v/>
      </c>
      <c r="O634" s="12" t="str">
        <f t="shared" si="144"/>
        <v/>
      </c>
      <c r="P634" s="12" t="str">
        <f t="shared" si="145"/>
        <v/>
      </c>
      <c r="Q634" s="12" t="e">
        <f t="shared" si="148"/>
        <v>#VALUE!</v>
      </c>
      <c r="R634" s="39" t="str">
        <f t="shared" si="147"/>
        <v/>
      </c>
      <c r="V634" s="12" t="str">
        <f t="shared" si="136"/>
        <v/>
      </c>
      <c r="W634" s="22" t="str">
        <f t="shared" si="149"/>
        <v/>
      </c>
    </row>
    <row r="635" spans="7:23" x14ac:dyDescent="0.25">
      <c r="G635" s="12" t="str">
        <f t="shared" si="146"/>
        <v/>
      </c>
      <c r="H635" s="12" t="str">
        <f t="shared" si="137"/>
        <v/>
      </c>
      <c r="I635" s="12" t="str">
        <f t="shared" si="138"/>
        <v/>
      </c>
      <c r="J635" s="12" t="str">
        <f t="shared" si="139"/>
        <v/>
      </c>
      <c r="K635" s="12" t="str">
        <f t="shared" si="140"/>
        <v/>
      </c>
      <c r="L635" s="12" t="str">
        <f t="shared" si="141"/>
        <v/>
      </c>
      <c r="M635" s="12" t="str">
        <f t="shared" si="142"/>
        <v/>
      </c>
      <c r="N635" s="12" t="str">
        <f t="shared" si="143"/>
        <v/>
      </c>
      <c r="O635" s="12" t="str">
        <f t="shared" si="144"/>
        <v/>
      </c>
      <c r="P635" s="12" t="str">
        <f t="shared" si="145"/>
        <v/>
      </c>
      <c r="Q635" s="12" t="e">
        <f t="shared" si="148"/>
        <v>#VALUE!</v>
      </c>
      <c r="R635" s="39" t="str">
        <f t="shared" si="147"/>
        <v/>
      </c>
      <c r="V635" s="12" t="str">
        <f t="shared" si="136"/>
        <v/>
      </c>
      <c r="W635" s="22" t="str">
        <f t="shared" si="149"/>
        <v/>
      </c>
    </row>
    <row r="636" spans="7:23" x14ac:dyDescent="0.25">
      <c r="G636" s="12" t="str">
        <f t="shared" si="146"/>
        <v/>
      </c>
      <c r="H636" s="12" t="str">
        <f t="shared" si="137"/>
        <v/>
      </c>
      <c r="I636" s="12" t="str">
        <f t="shared" si="138"/>
        <v/>
      </c>
      <c r="J636" s="12" t="str">
        <f t="shared" si="139"/>
        <v/>
      </c>
      <c r="K636" s="12" t="str">
        <f t="shared" si="140"/>
        <v/>
      </c>
      <c r="L636" s="12" t="str">
        <f t="shared" si="141"/>
        <v/>
      </c>
      <c r="M636" s="12" t="str">
        <f t="shared" si="142"/>
        <v/>
      </c>
      <c r="N636" s="12" t="str">
        <f t="shared" si="143"/>
        <v/>
      </c>
      <c r="O636" s="12" t="str">
        <f t="shared" si="144"/>
        <v/>
      </c>
      <c r="P636" s="12" t="str">
        <f t="shared" si="145"/>
        <v/>
      </c>
      <c r="Q636" s="12" t="e">
        <f t="shared" si="148"/>
        <v>#VALUE!</v>
      </c>
      <c r="R636" s="39" t="str">
        <f t="shared" si="147"/>
        <v/>
      </c>
      <c r="V636" s="12" t="str">
        <f t="shared" si="136"/>
        <v/>
      </c>
      <c r="W636" s="22" t="str">
        <f t="shared" si="149"/>
        <v/>
      </c>
    </row>
    <row r="637" spans="7:23" x14ac:dyDescent="0.25">
      <c r="G637" s="12" t="str">
        <f t="shared" si="146"/>
        <v/>
      </c>
      <c r="H637" s="12" t="str">
        <f t="shared" si="137"/>
        <v/>
      </c>
      <c r="I637" s="12" t="str">
        <f t="shared" si="138"/>
        <v/>
      </c>
      <c r="J637" s="12" t="str">
        <f t="shared" si="139"/>
        <v/>
      </c>
      <c r="K637" s="12" t="str">
        <f t="shared" si="140"/>
        <v/>
      </c>
      <c r="L637" s="12" t="str">
        <f t="shared" si="141"/>
        <v/>
      </c>
      <c r="M637" s="12" t="str">
        <f t="shared" si="142"/>
        <v/>
      </c>
      <c r="N637" s="12" t="str">
        <f t="shared" si="143"/>
        <v/>
      </c>
      <c r="O637" s="12" t="str">
        <f t="shared" si="144"/>
        <v/>
      </c>
      <c r="P637" s="12" t="str">
        <f t="shared" si="145"/>
        <v/>
      </c>
      <c r="Q637" s="12" t="e">
        <f t="shared" si="148"/>
        <v>#VALUE!</v>
      </c>
      <c r="R637" s="39" t="str">
        <f t="shared" si="147"/>
        <v/>
      </c>
      <c r="V637" s="12" t="str">
        <f t="shared" si="136"/>
        <v/>
      </c>
      <c r="W637" s="22" t="str">
        <f t="shared" si="149"/>
        <v/>
      </c>
    </row>
    <row r="638" spans="7:23" x14ac:dyDescent="0.25">
      <c r="G638" s="12" t="str">
        <f t="shared" si="146"/>
        <v/>
      </c>
      <c r="H638" s="12" t="str">
        <f t="shared" si="137"/>
        <v/>
      </c>
      <c r="I638" s="12" t="str">
        <f t="shared" si="138"/>
        <v/>
      </c>
      <c r="J638" s="12" t="str">
        <f t="shared" si="139"/>
        <v/>
      </c>
      <c r="K638" s="12" t="str">
        <f t="shared" si="140"/>
        <v/>
      </c>
      <c r="L638" s="12" t="str">
        <f t="shared" si="141"/>
        <v/>
      </c>
      <c r="M638" s="12" t="str">
        <f t="shared" si="142"/>
        <v/>
      </c>
      <c r="N638" s="12" t="str">
        <f t="shared" si="143"/>
        <v/>
      </c>
      <c r="O638" s="12" t="str">
        <f t="shared" si="144"/>
        <v/>
      </c>
      <c r="P638" s="12" t="str">
        <f t="shared" si="145"/>
        <v/>
      </c>
      <c r="Q638" s="12" t="e">
        <f t="shared" si="148"/>
        <v>#VALUE!</v>
      </c>
      <c r="R638" s="39" t="str">
        <f t="shared" si="147"/>
        <v/>
      </c>
      <c r="V638" s="12" t="str">
        <f t="shared" si="136"/>
        <v/>
      </c>
      <c r="W638" s="22" t="str">
        <f t="shared" si="149"/>
        <v/>
      </c>
    </row>
    <row r="639" spans="7:23" x14ac:dyDescent="0.25">
      <c r="G639" s="12" t="str">
        <f t="shared" si="146"/>
        <v/>
      </c>
      <c r="H639" s="12" t="str">
        <f t="shared" si="137"/>
        <v/>
      </c>
      <c r="I639" s="12" t="str">
        <f t="shared" si="138"/>
        <v/>
      </c>
      <c r="J639" s="12" t="str">
        <f t="shared" si="139"/>
        <v/>
      </c>
      <c r="K639" s="12" t="str">
        <f t="shared" si="140"/>
        <v/>
      </c>
      <c r="L639" s="12" t="str">
        <f t="shared" si="141"/>
        <v/>
      </c>
      <c r="M639" s="12" t="str">
        <f t="shared" si="142"/>
        <v/>
      </c>
      <c r="N639" s="12" t="str">
        <f t="shared" si="143"/>
        <v/>
      </c>
      <c r="O639" s="12" t="str">
        <f t="shared" si="144"/>
        <v/>
      </c>
      <c r="P639" s="12" t="str">
        <f t="shared" si="145"/>
        <v/>
      </c>
      <c r="Q639" s="12" t="e">
        <f t="shared" si="148"/>
        <v>#VALUE!</v>
      </c>
      <c r="R639" s="39" t="str">
        <f t="shared" si="147"/>
        <v/>
      </c>
      <c r="V639" s="12" t="str">
        <f t="shared" si="136"/>
        <v/>
      </c>
      <c r="W639" s="22" t="str">
        <f t="shared" si="149"/>
        <v/>
      </c>
    </row>
    <row r="640" spans="7:23" x14ac:dyDescent="0.25">
      <c r="G640" s="12" t="str">
        <f t="shared" si="146"/>
        <v/>
      </c>
      <c r="H640" s="12" t="str">
        <f t="shared" si="137"/>
        <v/>
      </c>
      <c r="I640" s="12" t="str">
        <f t="shared" si="138"/>
        <v/>
      </c>
      <c r="J640" s="12" t="str">
        <f t="shared" si="139"/>
        <v/>
      </c>
      <c r="K640" s="12" t="str">
        <f t="shared" si="140"/>
        <v/>
      </c>
      <c r="L640" s="12" t="str">
        <f t="shared" si="141"/>
        <v/>
      </c>
      <c r="M640" s="12" t="str">
        <f t="shared" si="142"/>
        <v/>
      </c>
      <c r="N640" s="12" t="str">
        <f t="shared" si="143"/>
        <v/>
      </c>
      <c r="O640" s="12" t="str">
        <f t="shared" si="144"/>
        <v/>
      </c>
      <c r="P640" s="12" t="str">
        <f t="shared" si="145"/>
        <v/>
      </c>
      <c r="Q640" s="12" t="e">
        <f t="shared" si="148"/>
        <v>#VALUE!</v>
      </c>
      <c r="R640" s="39" t="str">
        <f t="shared" si="147"/>
        <v/>
      </c>
      <c r="V640" s="12" t="str">
        <f t="shared" si="136"/>
        <v/>
      </c>
      <c r="W640" s="22" t="str">
        <f t="shared" si="149"/>
        <v/>
      </c>
    </row>
    <row r="641" spans="7:23" x14ac:dyDescent="0.25">
      <c r="G641" s="12" t="str">
        <f t="shared" si="146"/>
        <v/>
      </c>
      <c r="H641" s="12" t="str">
        <f t="shared" si="137"/>
        <v/>
      </c>
      <c r="I641" s="12" t="str">
        <f t="shared" si="138"/>
        <v/>
      </c>
      <c r="J641" s="12" t="str">
        <f t="shared" si="139"/>
        <v/>
      </c>
      <c r="K641" s="12" t="str">
        <f t="shared" si="140"/>
        <v/>
      </c>
      <c r="L641" s="12" t="str">
        <f t="shared" si="141"/>
        <v/>
      </c>
      <c r="M641" s="12" t="str">
        <f t="shared" si="142"/>
        <v/>
      </c>
      <c r="N641" s="12" t="str">
        <f t="shared" si="143"/>
        <v/>
      </c>
      <c r="O641" s="12" t="str">
        <f t="shared" si="144"/>
        <v/>
      </c>
      <c r="P641" s="12" t="str">
        <f t="shared" si="145"/>
        <v/>
      </c>
      <c r="Q641" s="12" t="e">
        <f t="shared" si="148"/>
        <v>#VALUE!</v>
      </c>
      <c r="R641" s="39" t="str">
        <f t="shared" si="147"/>
        <v/>
      </c>
      <c r="V641" s="12" t="str">
        <f t="shared" si="136"/>
        <v/>
      </c>
      <c r="W641" s="22" t="str">
        <f t="shared" si="149"/>
        <v/>
      </c>
    </row>
    <row r="642" spans="7:23" x14ac:dyDescent="0.25">
      <c r="G642" s="12" t="str">
        <f t="shared" si="146"/>
        <v/>
      </c>
      <c r="H642" s="12" t="str">
        <f t="shared" si="137"/>
        <v/>
      </c>
      <c r="I642" s="12" t="str">
        <f t="shared" si="138"/>
        <v/>
      </c>
      <c r="J642" s="12" t="str">
        <f t="shared" si="139"/>
        <v/>
      </c>
      <c r="K642" s="12" t="str">
        <f t="shared" si="140"/>
        <v/>
      </c>
      <c r="L642" s="12" t="str">
        <f t="shared" si="141"/>
        <v/>
      </c>
      <c r="M642" s="12" t="str">
        <f t="shared" si="142"/>
        <v/>
      </c>
      <c r="N642" s="12" t="str">
        <f t="shared" si="143"/>
        <v/>
      </c>
      <c r="O642" s="12" t="str">
        <f t="shared" si="144"/>
        <v/>
      </c>
      <c r="P642" s="12" t="str">
        <f t="shared" si="145"/>
        <v/>
      </c>
      <c r="Q642" s="12" t="e">
        <f t="shared" si="148"/>
        <v>#VALUE!</v>
      </c>
      <c r="R642" s="39" t="str">
        <f t="shared" si="147"/>
        <v/>
      </c>
      <c r="V642" s="12" t="str">
        <f t="shared" si="136"/>
        <v/>
      </c>
      <c r="W642" s="22" t="str">
        <f t="shared" si="149"/>
        <v/>
      </c>
    </row>
    <row r="643" spans="7:23" x14ac:dyDescent="0.25">
      <c r="G643" s="12" t="str">
        <f t="shared" si="146"/>
        <v/>
      </c>
      <c r="H643" s="12" t="str">
        <f t="shared" si="137"/>
        <v/>
      </c>
      <c r="I643" s="12" t="str">
        <f t="shared" si="138"/>
        <v/>
      </c>
      <c r="J643" s="12" t="str">
        <f t="shared" si="139"/>
        <v/>
      </c>
      <c r="K643" s="12" t="str">
        <f t="shared" si="140"/>
        <v/>
      </c>
      <c r="L643" s="12" t="str">
        <f t="shared" si="141"/>
        <v/>
      </c>
      <c r="M643" s="12" t="str">
        <f t="shared" si="142"/>
        <v/>
      </c>
      <c r="N643" s="12" t="str">
        <f t="shared" si="143"/>
        <v/>
      </c>
      <c r="O643" s="12" t="str">
        <f t="shared" si="144"/>
        <v/>
      </c>
      <c r="P643" s="12" t="str">
        <f t="shared" si="145"/>
        <v/>
      </c>
      <c r="Q643" s="12" t="e">
        <f t="shared" si="148"/>
        <v>#VALUE!</v>
      </c>
      <c r="R643" s="39" t="str">
        <f t="shared" si="147"/>
        <v/>
      </c>
      <c r="V643" s="12" t="str">
        <f t="shared" si="136"/>
        <v/>
      </c>
      <c r="W643" s="22" t="str">
        <f t="shared" si="149"/>
        <v/>
      </c>
    </row>
    <row r="644" spans="7:23" x14ac:dyDescent="0.25">
      <c r="G644" s="12" t="str">
        <f t="shared" si="146"/>
        <v/>
      </c>
      <c r="H644" s="12" t="str">
        <f t="shared" si="137"/>
        <v/>
      </c>
      <c r="I644" s="12" t="str">
        <f t="shared" si="138"/>
        <v/>
      </c>
      <c r="J644" s="12" t="str">
        <f t="shared" si="139"/>
        <v/>
      </c>
      <c r="K644" s="12" t="str">
        <f t="shared" si="140"/>
        <v/>
      </c>
      <c r="L644" s="12" t="str">
        <f t="shared" si="141"/>
        <v/>
      </c>
      <c r="M644" s="12" t="str">
        <f t="shared" si="142"/>
        <v/>
      </c>
      <c r="N644" s="12" t="str">
        <f t="shared" si="143"/>
        <v/>
      </c>
      <c r="O644" s="12" t="str">
        <f t="shared" si="144"/>
        <v/>
      </c>
      <c r="P644" s="12" t="str">
        <f t="shared" si="145"/>
        <v/>
      </c>
      <c r="Q644" s="12" t="e">
        <f t="shared" si="148"/>
        <v>#VALUE!</v>
      </c>
      <c r="R644" s="39" t="str">
        <f t="shared" si="147"/>
        <v/>
      </c>
      <c r="V644" s="12" t="str">
        <f t="shared" si="136"/>
        <v/>
      </c>
      <c r="W644" s="22" t="str">
        <f t="shared" si="149"/>
        <v/>
      </c>
    </row>
    <row r="645" spans="7:23" x14ac:dyDescent="0.25">
      <c r="G645" s="12" t="str">
        <f t="shared" si="146"/>
        <v/>
      </c>
      <c r="H645" s="12" t="str">
        <f t="shared" si="137"/>
        <v/>
      </c>
      <c r="I645" s="12" t="str">
        <f t="shared" si="138"/>
        <v/>
      </c>
      <c r="J645" s="12" t="str">
        <f t="shared" si="139"/>
        <v/>
      </c>
      <c r="K645" s="12" t="str">
        <f t="shared" si="140"/>
        <v/>
      </c>
      <c r="L645" s="12" t="str">
        <f t="shared" si="141"/>
        <v/>
      </c>
      <c r="M645" s="12" t="str">
        <f t="shared" si="142"/>
        <v/>
      </c>
      <c r="N645" s="12" t="str">
        <f t="shared" si="143"/>
        <v/>
      </c>
      <c r="O645" s="12" t="str">
        <f t="shared" si="144"/>
        <v/>
      </c>
      <c r="P645" s="12" t="str">
        <f t="shared" si="145"/>
        <v/>
      </c>
      <c r="Q645" s="12" t="e">
        <f t="shared" si="148"/>
        <v>#VALUE!</v>
      </c>
      <c r="R645" s="39" t="str">
        <f t="shared" si="147"/>
        <v/>
      </c>
      <c r="V645" s="12" t="str">
        <f t="shared" si="136"/>
        <v/>
      </c>
      <c r="W645" s="22" t="str">
        <f t="shared" si="149"/>
        <v/>
      </c>
    </row>
    <row r="646" spans="7:23" x14ac:dyDescent="0.25">
      <c r="G646" s="12" t="str">
        <f t="shared" si="146"/>
        <v/>
      </c>
      <c r="H646" s="12" t="str">
        <f t="shared" si="137"/>
        <v/>
      </c>
      <c r="I646" s="12" t="str">
        <f t="shared" si="138"/>
        <v/>
      </c>
      <c r="J646" s="12" t="str">
        <f t="shared" si="139"/>
        <v/>
      </c>
      <c r="K646" s="12" t="str">
        <f t="shared" si="140"/>
        <v/>
      </c>
      <c r="L646" s="12" t="str">
        <f t="shared" si="141"/>
        <v/>
      </c>
      <c r="M646" s="12" t="str">
        <f t="shared" si="142"/>
        <v/>
      </c>
      <c r="N646" s="12" t="str">
        <f t="shared" si="143"/>
        <v/>
      </c>
      <c r="O646" s="12" t="str">
        <f t="shared" si="144"/>
        <v/>
      </c>
      <c r="P646" s="12" t="str">
        <f t="shared" si="145"/>
        <v/>
      </c>
      <c r="Q646" s="12" t="e">
        <f t="shared" si="148"/>
        <v>#VALUE!</v>
      </c>
      <c r="R646" s="39" t="str">
        <f t="shared" si="147"/>
        <v/>
      </c>
      <c r="V646" s="12" t="str">
        <f t="shared" si="136"/>
        <v/>
      </c>
      <c r="W646" s="22" t="str">
        <f t="shared" si="149"/>
        <v/>
      </c>
    </row>
    <row r="647" spans="7:23" x14ac:dyDescent="0.25">
      <c r="G647" s="12" t="str">
        <f t="shared" si="146"/>
        <v/>
      </c>
      <c r="H647" s="12" t="str">
        <f t="shared" si="137"/>
        <v/>
      </c>
      <c r="I647" s="12" t="str">
        <f t="shared" si="138"/>
        <v/>
      </c>
      <c r="J647" s="12" t="str">
        <f t="shared" si="139"/>
        <v/>
      </c>
      <c r="K647" s="12" t="str">
        <f t="shared" si="140"/>
        <v/>
      </c>
      <c r="L647" s="12" t="str">
        <f t="shared" si="141"/>
        <v/>
      </c>
      <c r="M647" s="12" t="str">
        <f t="shared" si="142"/>
        <v/>
      </c>
      <c r="N647" s="12" t="str">
        <f t="shared" si="143"/>
        <v/>
      </c>
      <c r="O647" s="12" t="str">
        <f t="shared" si="144"/>
        <v/>
      </c>
      <c r="P647" s="12" t="str">
        <f t="shared" si="145"/>
        <v/>
      </c>
      <c r="Q647" s="12" t="e">
        <f t="shared" si="148"/>
        <v>#VALUE!</v>
      </c>
      <c r="R647" s="39" t="str">
        <f t="shared" si="147"/>
        <v/>
      </c>
      <c r="V647" s="12" t="str">
        <f t="shared" si="136"/>
        <v/>
      </c>
      <c r="W647" s="22" t="str">
        <f t="shared" si="149"/>
        <v/>
      </c>
    </row>
    <row r="648" spans="7:23" x14ac:dyDescent="0.25">
      <c r="G648" s="12" t="str">
        <f t="shared" si="146"/>
        <v/>
      </c>
      <c r="H648" s="12" t="str">
        <f t="shared" si="137"/>
        <v/>
      </c>
      <c r="I648" s="12" t="str">
        <f t="shared" si="138"/>
        <v/>
      </c>
      <c r="J648" s="12" t="str">
        <f t="shared" si="139"/>
        <v/>
      </c>
      <c r="K648" s="12" t="str">
        <f t="shared" si="140"/>
        <v/>
      </c>
      <c r="L648" s="12" t="str">
        <f t="shared" si="141"/>
        <v/>
      </c>
      <c r="M648" s="12" t="str">
        <f t="shared" si="142"/>
        <v/>
      </c>
      <c r="N648" s="12" t="str">
        <f t="shared" si="143"/>
        <v/>
      </c>
      <c r="O648" s="12" t="str">
        <f t="shared" si="144"/>
        <v/>
      </c>
      <c r="P648" s="12" t="str">
        <f t="shared" si="145"/>
        <v/>
      </c>
      <c r="Q648" s="12" t="e">
        <f t="shared" si="148"/>
        <v>#VALUE!</v>
      </c>
      <c r="R648" s="39" t="str">
        <f t="shared" si="147"/>
        <v/>
      </c>
      <c r="V648" s="12" t="str">
        <f t="shared" si="136"/>
        <v/>
      </c>
      <c r="W648" s="22" t="str">
        <f t="shared" si="149"/>
        <v/>
      </c>
    </row>
    <row r="649" spans="7:23" x14ac:dyDescent="0.25">
      <c r="G649" s="12" t="str">
        <f t="shared" si="146"/>
        <v/>
      </c>
      <c r="H649" s="12" t="str">
        <f t="shared" si="137"/>
        <v/>
      </c>
      <c r="I649" s="12" t="str">
        <f t="shared" si="138"/>
        <v/>
      </c>
      <c r="J649" s="12" t="str">
        <f t="shared" si="139"/>
        <v/>
      </c>
      <c r="K649" s="12" t="str">
        <f t="shared" si="140"/>
        <v/>
      </c>
      <c r="L649" s="12" t="str">
        <f t="shared" si="141"/>
        <v/>
      </c>
      <c r="M649" s="12" t="str">
        <f t="shared" si="142"/>
        <v/>
      </c>
      <c r="N649" s="12" t="str">
        <f t="shared" si="143"/>
        <v/>
      </c>
      <c r="O649" s="12" t="str">
        <f t="shared" si="144"/>
        <v/>
      </c>
      <c r="P649" s="12" t="str">
        <f t="shared" si="145"/>
        <v/>
      </c>
      <c r="Q649" s="12" t="e">
        <f t="shared" si="148"/>
        <v>#VALUE!</v>
      </c>
      <c r="R649" s="39" t="str">
        <f t="shared" si="147"/>
        <v/>
      </c>
      <c r="V649" s="12" t="str">
        <f t="shared" si="136"/>
        <v/>
      </c>
      <c r="W649" s="22" t="str">
        <f t="shared" si="149"/>
        <v/>
      </c>
    </row>
    <row r="650" spans="7:23" x14ac:dyDescent="0.25">
      <c r="G650" s="12" t="str">
        <f t="shared" si="146"/>
        <v/>
      </c>
      <c r="H650" s="12" t="str">
        <f t="shared" si="137"/>
        <v/>
      </c>
      <c r="I650" s="12" t="str">
        <f t="shared" si="138"/>
        <v/>
      </c>
      <c r="J650" s="12" t="str">
        <f t="shared" si="139"/>
        <v/>
      </c>
      <c r="K650" s="12" t="str">
        <f t="shared" si="140"/>
        <v/>
      </c>
      <c r="L650" s="12" t="str">
        <f t="shared" si="141"/>
        <v/>
      </c>
      <c r="M650" s="12" t="str">
        <f t="shared" si="142"/>
        <v/>
      </c>
      <c r="N650" s="12" t="str">
        <f t="shared" si="143"/>
        <v/>
      </c>
      <c r="O650" s="12" t="str">
        <f t="shared" si="144"/>
        <v/>
      </c>
      <c r="P650" s="12" t="str">
        <f t="shared" si="145"/>
        <v/>
      </c>
      <c r="Q650" s="12" t="e">
        <f t="shared" si="148"/>
        <v>#VALUE!</v>
      </c>
      <c r="R650" s="39" t="str">
        <f t="shared" si="147"/>
        <v/>
      </c>
      <c r="V650" s="12" t="str">
        <f t="shared" si="136"/>
        <v/>
      </c>
      <c r="W650" s="22" t="str">
        <f t="shared" si="149"/>
        <v/>
      </c>
    </row>
    <row r="651" spans="7:23" x14ac:dyDescent="0.25">
      <c r="G651" s="12" t="str">
        <f t="shared" si="146"/>
        <v/>
      </c>
      <c r="H651" s="12" t="str">
        <f t="shared" si="137"/>
        <v/>
      </c>
      <c r="I651" s="12" t="str">
        <f t="shared" si="138"/>
        <v/>
      </c>
      <c r="J651" s="12" t="str">
        <f t="shared" si="139"/>
        <v/>
      </c>
      <c r="K651" s="12" t="str">
        <f t="shared" si="140"/>
        <v/>
      </c>
      <c r="L651" s="12" t="str">
        <f t="shared" si="141"/>
        <v/>
      </c>
      <c r="M651" s="12" t="str">
        <f t="shared" si="142"/>
        <v/>
      </c>
      <c r="N651" s="12" t="str">
        <f t="shared" si="143"/>
        <v/>
      </c>
      <c r="O651" s="12" t="str">
        <f t="shared" si="144"/>
        <v/>
      </c>
      <c r="P651" s="12" t="str">
        <f t="shared" si="145"/>
        <v/>
      </c>
      <c r="Q651" s="12" t="e">
        <f t="shared" si="148"/>
        <v>#VALUE!</v>
      </c>
      <c r="R651" s="39" t="str">
        <f t="shared" si="147"/>
        <v/>
      </c>
      <c r="V651" s="12" t="str">
        <f t="shared" si="136"/>
        <v/>
      </c>
      <c r="W651" s="22" t="str">
        <f t="shared" si="149"/>
        <v/>
      </c>
    </row>
    <row r="652" spans="7:23" x14ac:dyDescent="0.25">
      <c r="G652" s="12" t="str">
        <f t="shared" si="146"/>
        <v/>
      </c>
      <c r="H652" s="12" t="str">
        <f t="shared" si="137"/>
        <v/>
      </c>
      <c r="I652" s="12" t="str">
        <f t="shared" si="138"/>
        <v/>
      </c>
      <c r="J652" s="12" t="str">
        <f t="shared" si="139"/>
        <v/>
      </c>
      <c r="K652" s="12" t="str">
        <f t="shared" si="140"/>
        <v/>
      </c>
      <c r="L652" s="12" t="str">
        <f t="shared" si="141"/>
        <v/>
      </c>
      <c r="M652" s="12" t="str">
        <f t="shared" si="142"/>
        <v/>
      </c>
      <c r="N652" s="12" t="str">
        <f t="shared" si="143"/>
        <v/>
      </c>
      <c r="O652" s="12" t="str">
        <f t="shared" si="144"/>
        <v/>
      </c>
      <c r="P652" s="12" t="str">
        <f t="shared" si="145"/>
        <v/>
      </c>
      <c r="Q652" s="12" t="e">
        <f t="shared" si="148"/>
        <v>#VALUE!</v>
      </c>
      <c r="R652" s="39" t="str">
        <f t="shared" si="147"/>
        <v/>
      </c>
      <c r="V652" s="12" t="str">
        <f t="shared" si="136"/>
        <v/>
      </c>
      <c r="W652" s="22" t="str">
        <f t="shared" si="149"/>
        <v/>
      </c>
    </row>
    <row r="653" spans="7:23" x14ac:dyDescent="0.25">
      <c r="G653" s="12" t="str">
        <f t="shared" si="146"/>
        <v/>
      </c>
      <c r="H653" s="12" t="str">
        <f t="shared" si="137"/>
        <v/>
      </c>
      <c r="I653" s="12" t="str">
        <f t="shared" si="138"/>
        <v/>
      </c>
      <c r="J653" s="12" t="str">
        <f t="shared" si="139"/>
        <v/>
      </c>
      <c r="K653" s="12" t="str">
        <f t="shared" si="140"/>
        <v/>
      </c>
      <c r="L653" s="12" t="str">
        <f t="shared" si="141"/>
        <v/>
      </c>
      <c r="M653" s="12" t="str">
        <f t="shared" si="142"/>
        <v/>
      </c>
      <c r="N653" s="12" t="str">
        <f t="shared" si="143"/>
        <v/>
      </c>
      <c r="O653" s="12" t="str">
        <f t="shared" si="144"/>
        <v/>
      </c>
      <c r="P653" s="12" t="str">
        <f t="shared" si="145"/>
        <v/>
      </c>
      <c r="Q653" s="12" t="e">
        <f t="shared" si="148"/>
        <v>#VALUE!</v>
      </c>
      <c r="R653" s="39" t="str">
        <f t="shared" si="147"/>
        <v/>
      </c>
      <c r="V653" s="12" t="str">
        <f t="shared" si="136"/>
        <v/>
      </c>
      <c r="W653" s="22" t="str">
        <f t="shared" si="149"/>
        <v/>
      </c>
    </row>
    <row r="654" spans="7:23" x14ac:dyDescent="0.25">
      <c r="G654" s="12" t="str">
        <f t="shared" si="146"/>
        <v/>
      </c>
      <c r="H654" s="12" t="str">
        <f t="shared" si="137"/>
        <v/>
      </c>
      <c r="I654" s="12" t="str">
        <f t="shared" si="138"/>
        <v/>
      </c>
      <c r="J654" s="12" t="str">
        <f t="shared" si="139"/>
        <v/>
      </c>
      <c r="K654" s="12" t="str">
        <f t="shared" si="140"/>
        <v/>
      </c>
      <c r="L654" s="12" t="str">
        <f t="shared" si="141"/>
        <v/>
      </c>
      <c r="M654" s="12" t="str">
        <f t="shared" si="142"/>
        <v/>
      </c>
      <c r="N654" s="12" t="str">
        <f t="shared" si="143"/>
        <v/>
      </c>
      <c r="O654" s="12" t="str">
        <f t="shared" si="144"/>
        <v/>
      </c>
      <c r="P654" s="12" t="str">
        <f t="shared" si="145"/>
        <v/>
      </c>
      <c r="Q654" s="12" t="e">
        <f t="shared" si="148"/>
        <v>#VALUE!</v>
      </c>
      <c r="R654" s="39" t="str">
        <f t="shared" si="147"/>
        <v/>
      </c>
      <c r="V654" s="12" t="str">
        <f t="shared" si="136"/>
        <v/>
      </c>
      <c r="W654" s="22" t="str">
        <f t="shared" si="149"/>
        <v/>
      </c>
    </row>
    <row r="655" spans="7:23" x14ac:dyDescent="0.25">
      <c r="G655" s="12" t="str">
        <f t="shared" si="146"/>
        <v/>
      </c>
      <c r="H655" s="12" t="str">
        <f t="shared" si="137"/>
        <v/>
      </c>
      <c r="I655" s="12" t="str">
        <f t="shared" si="138"/>
        <v/>
      </c>
      <c r="J655" s="12" t="str">
        <f t="shared" si="139"/>
        <v/>
      </c>
      <c r="K655" s="12" t="str">
        <f t="shared" si="140"/>
        <v/>
      </c>
      <c r="L655" s="12" t="str">
        <f t="shared" si="141"/>
        <v/>
      </c>
      <c r="M655" s="12" t="str">
        <f t="shared" si="142"/>
        <v/>
      </c>
      <c r="N655" s="12" t="str">
        <f t="shared" si="143"/>
        <v/>
      </c>
      <c r="O655" s="12" t="str">
        <f t="shared" si="144"/>
        <v/>
      </c>
      <c r="P655" s="12" t="str">
        <f t="shared" si="145"/>
        <v/>
      </c>
      <c r="Q655" s="12" t="e">
        <f t="shared" si="148"/>
        <v>#VALUE!</v>
      </c>
      <c r="R655" s="39" t="str">
        <f t="shared" si="147"/>
        <v/>
      </c>
      <c r="V655" s="12" t="str">
        <f t="shared" si="136"/>
        <v/>
      </c>
      <c r="W655" s="22" t="str">
        <f t="shared" si="149"/>
        <v/>
      </c>
    </row>
    <row r="656" spans="7:23" x14ac:dyDescent="0.25">
      <c r="G656" s="12" t="str">
        <f t="shared" si="146"/>
        <v/>
      </c>
      <c r="H656" s="12" t="str">
        <f t="shared" si="137"/>
        <v/>
      </c>
      <c r="I656" s="12" t="str">
        <f t="shared" si="138"/>
        <v/>
      </c>
      <c r="J656" s="12" t="str">
        <f t="shared" si="139"/>
        <v/>
      </c>
      <c r="K656" s="12" t="str">
        <f t="shared" si="140"/>
        <v/>
      </c>
      <c r="L656" s="12" t="str">
        <f t="shared" si="141"/>
        <v/>
      </c>
      <c r="M656" s="12" t="str">
        <f t="shared" si="142"/>
        <v/>
      </c>
      <c r="N656" s="12" t="str">
        <f t="shared" si="143"/>
        <v/>
      </c>
      <c r="O656" s="12" t="str">
        <f t="shared" si="144"/>
        <v/>
      </c>
      <c r="P656" s="12" t="str">
        <f t="shared" si="145"/>
        <v/>
      </c>
      <c r="Q656" s="12" t="e">
        <f t="shared" si="148"/>
        <v>#VALUE!</v>
      </c>
      <c r="R656" s="39" t="str">
        <f t="shared" si="147"/>
        <v/>
      </c>
      <c r="V656" s="12" t="str">
        <f t="shared" si="136"/>
        <v/>
      </c>
      <c r="W656" s="22" t="str">
        <f t="shared" si="149"/>
        <v/>
      </c>
    </row>
    <row r="657" spans="7:23" x14ac:dyDescent="0.25">
      <c r="G657" s="12" t="str">
        <f t="shared" si="146"/>
        <v/>
      </c>
      <c r="H657" s="12" t="str">
        <f t="shared" si="137"/>
        <v/>
      </c>
      <c r="I657" s="12" t="str">
        <f t="shared" si="138"/>
        <v/>
      </c>
      <c r="J657" s="12" t="str">
        <f t="shared" si="139"/>
        <v/>
      </c>
      <c r="K657" s="12" t="str">
        <f t="shared" si="140"/>
        <v/>
      </c>
      <c r="L657" s="12" t="str">
        <f t="shared" si="141"/>
        <v/>
      </c>
      <c r="M657" s="12" t="str">
        <f t="shared" si="142"/>
        <v/>
      </c>
      <c r="N657" s="12" t="str">
        <f t="shared" si="143"/>
        <v/>
      </c>
      <c r="O657" s="12" t="str">
        <f t="shared" si="144"/>
        <v/>
      </c>
      <c r="P657" s="12" t="str">
        <f t="shared" si="145"/>
        <v/>
      </c>
      <c r="Q657" s="12" t="e">
        <f t="shared" si="148"/>
        <v>#VALUE!</v>
      </c>
      <c r="R657" s="39" t="str">
        <f t="shared" si="147"/>
        <v/>
      </c>
      <c r="V657" s="12" t="str">
        <f t="shared" ref="V657:V707" si="150">H657</f>
        <v/>
      </c>
      <c r="W657" s="22" t="str">
        <f t="shared" si="149"/>
        <v/>
      </c>
    </row>
    <row r="658" spans="7:23" x14ac:dyDescent="0.25">
      <c r="G658" s="12" t="str">
        <f t="shared" si="146"/>
        <v/>
      </c>
      <c r="H658" s="12" t="str">
        <f t="shared" ref="H658:H707" si="151">IFERROR(IF(E658=1,Q658,""),"")</f>
        <v/>
      </c>
      <c r="I658" s="12" t="str">
        <f t="shared" ref="I658:I707" si="152">IFERROR(IF(E658=2,Q658,""),"")</f>
        <v/>
      </c>
      <c r="J658" s="12" t="str">
        <f t="shared" ref="J658:J707" si="153">IFERROR(IF(E658=3,Q658,""),"")</f>
        <v/>
      </c>
      <c r="K658" s="12" t="str">
        <f t="shared" ref="K658:K707" si="154">IFERROR(IF(E658=4,Q658,""),"")</f>
        <v/>
      </c>
      <c r="L658" s="12" t="str">
        <f t="shared" ref="L658:L707" si="155">IFERROR(IF(E658=5,Q658,""),"")</f>
        <v/>
      </c>
      <c r="M658" s="12" t="str">
        <f t="shared" ref="M658:M707" si="156">IFERROR(IF(E658=6,Q658,""),"")</f>
        <v/>
      </c>
      <c r="N658" s="12" t="str">
        <f t="shared" ref="N658:N707" si="157">IFERROR(IF(E658=7,Q658,""),"")</f>
        <v/>
      </c>
      <c r="O658" s="12" t="str">
        <f t="shared" ref="O658:O707" si="158">IFERROR(IF(E658=8,Q658,""),"")</f>
        <v/>
      </c>
      <c r="P658" s="12" t="str">
        <f t="shared" ref="P658:P707" si="159">IFERROR(IF(E658=9,Q658,""),"")</f>
        <v/>
      </c>
      <c r="Q658" s="12" t="e">
        <f t="shared" si="148"/>
        <v>#VALUE!</v>
      </c>
      <c r="R658" s="39" t="str">
        <f t="shared" si="147"/>
        <v/>
      </c>
      <c r="V658" s="12" t="str">
        <f t="shared" si="150"/>
        <v/>
      </c>
      <c r="W658" s="22" t="str">
        <f t="shared" si="149"/>
        <v/>
      </c>
    </row>
    <row r="659" spans="7:23" x14ac:dyDescent="0.25">
      <c r="G659" s="12" t="str">
        <f t="shared" si="146"/>
        <v/>
      </c>
      <c r="H659" s="12" t="str">
        <f t="shared" si="151"/>
        <v/>
      </c>
      <c r="I659" s="12" t="str">
        <f t="shared" si="152"/>
        <v/>
      </c>
      <c r="J659" s="12" t="str">
        <f t="shared" si="153"/>
        <v/>
      </c>
      <c r="K659" s="12" t="str">
        <f t="shared" si="154"/>
        <v/>
      </c>
      <c r="L659" s="12" t="str">
        <f t="shared" si="155"/>
        <v/>
      </c>
      <c r="M659" s="12" t="str">
        <f t="shared" si="156"/>
        <v/>
      </c>
      <c r="N659" s="12" t="str">
        <f t="shared" si="157"/>
        <v/>
      </c>
      <c r="O659" s="12" t="str">
        <f t="shared" si="158"/>
        <v/>
      </c>
      <c r="P659" s="12" t="str">
        <f t="shared" si="159"/>
        <v/>
      </c>
      <c r="Q659" s="12" t="e">
        <f t="shared" si="148"/>
        <v>#VALUE!</v>
      </c>
      <c r="R659" s="39" t="str">
        <f t="shared" si="147"/>
        <v/>
      </c>
      <c r="V659" s="12" t="str">
        <f t="shared" si="150"/>
        <v/>
      </c>
      <c r="W659" s="22" t="str">
        <f t="shared" si="149"/>
        <v/>
      </c>
    </row>
    <row r="660" spans="7:23" x14ac:dyDescent="0.25">
      <c r="G660" s="12" t="str">
        <f t="shared" si="146"/>
        <v/>
      </c>
      <c r="H660" s="12" t="str">
        <f t="shared" si="151"/>
        <v/>
      </c>
      <c r="I660" s="12" t="str">
        <f t="shared" si="152"/>
        <v/>
      </c>
      <c r="J660" s="12" t="str">
        <f t="shared" si="153"/>
        <v/>
      </c>
      <c r="K660" s="12" t="str">
        <f t="shared" si="154"/>
        <v/>
      </c>
      <c r="L660" s="12" t="str">
        <f t="shared" si="155"/>
        <v/>
      </c>
      <c r="M660" s="12" t="str">
        <f t="shared" si="156"/>
        <v/>
      </c>
      <c r="N660" s="12" t="str">
        <f t="shared" si="157"/>
        <v/>
      </c>
      <c r="O660" s="12" t="str">
        <f t="shared" si="158"/>
        <v/>
      </c>
      <c r="P660" s="12" t="str">
        <f t="shared" si="159"/>
        <v/>
      </c>
      <c r="Q660" s="12" t="e">
        <f t="shared" si="148"/>
        <v>#VALUE!</v>
      </c>
      <c r="R660" s="39" t="str">
        <f t="shared" si="147"/>
        <v/>
      </c>
      <c r="V660" s="12" t="str">
        <f t="shared" si="150"/>
        <v/>
      </c>
      <c r="W660" s="22" t="str">
        <f t="shared" si="149"/>
        <v/>
      </c>
    </row>
    <row r="661" spans="7:23" x14ac:dyDescent="0.25">
      <c r="G661" s="12" t="str">
        <f t="shared" si="146"/>
        <v/>
      </c>
      <c r="H661" s="12" t="str">
        <f t="shared" si="151"/>
        <v/>
      </c>
      <c r="I661" s="12" t="str">
        <f t="shared" si="152"/>
        <v/>
      </c>
      <c r="J661" s="12" t="str">
        <f t="shared" si="153"/>
        <v/>
      </c>
      <c r="K661" s="12" t="str">
        <f t="shared" si="154"/>
        <v/>
      </c>
      <c r="L661" s="12" t="str">
        <f t="shared" si="155"/>
        <v/>
      </c>
      <c r="M661" s="12" t="str">
        <f t="shared" si="156"/>
        <v/>
      </c>
      <c r="N661" s="12" t="str">
        <f t="shared" si="157"/>
        <v/>
      </c>
      <c r="O661" s="12" t="str">
        <f t="shared" si="158"/>
        <v/>
      </c>
      <c r="P661" s="12" t="str">
        <f t="shared" si="159"/>
        <v/>
      </c>
      <c r="Q661" s="12" t="e">
        <f t="shared" si="148"/>
        <v>#VALUE!</v>
      </c>
      <c r="R661" s="39" t="str">
        <f t="shared" si="147"/>
        <v/>
      </c>
      <c r="V661" s="12" t="str">
        <f t="shared" si="150"/>
        <v/>
      </c>
      <c r="W661" s="22" t="str">
        <f t="shared" si="149"/>
        <v/>
      </c>
    </row>
    <row r="662" spans="7:23" x14ac:dyDescent="0.25">
      <c r="G662" s="12" t="str">
        <f t="shared" ref="G662:G707" si="160">IF(LEN(F662)=5,TIMEVALUE(LEFT(F662,1)&amp;":"&amp;MID(F662,2,2)&amp;":"&amp;RIGHT(F662,2)),IF(LEN(F662)=6,TIMEVALUE(LEFT(F662,2)&amp;":"&amp;MID(F662,3,2)&amp;":"&amp;RIGHT(F662,2)),""))</f>
        <v/>
      </c>
      <c r="H662" s="12" t="str">
        <f t="shared" si="151"/>
        <v/>
      </c>
      <c r="I662" s="12" t="str">
        <f t="shared" si="152"/>
        <v/>
      </c>
      <c r="J662" s="12" t="str">
        <f t="shared" si="153"/>
        <v/>
      </c>
      <c r="K662" s="12" t="str">
        <f t="shared" si="154"/>
        <v/>
      </c>
      <c r="L662" s="12" t="str">
        <f t="shared" si="155"/>
        <v/>
      </c>
      <c r="M662" s="12" t="str">
        <f t="shared" si="156"/>
        <v/>
      </c>
      <c r="N662" s="12" t="str">
        <f t="shared" si="157"/>
        <v/>
      </c>
      <c r="O662" s="12" t="str">
        <f t="shared" si="158"/>
        <v/>
      </c>
      <c r="P662" s="12" t="str">
        <f t="shared" si="159"/>
        <v/>
      </c>
      <c r="Q662" s="12" t="e">
        <f t="shared" si="148"/>
        <v>#VALUE!</v>
      </c>
      <c r="R662" s="39" t="str">
        <f t="shared" ref="R662:R707" si="161">IF(H662="","",HOUR(H662)*60+MINUTE(H662)+SECOND(H662)/60)</f>
        <v/>
      </c>
      <c r="V662" s="12" t="str">
        <f t="shared" si="150"/>
        <v/>
      </c>
      <c r="W662" s="22" t="str">
        <f t="shared" si="149"/>
        <v/>
      </c>
    </row>
    <row r="663" spans="7:23" x14ac:dyDescent="0.25">
      <c r="G663" s="12" t="str">
        <f t="shared" si="160"/>
        <v/>
      </c>
      <c r="H663" s="12" t="str">
        <f t="shared" si="151"/>
        <v/>
      </c>
      <c r="I663" s="12" t="str">
        <f t="shared" si="152"/>
        <v/>
      </c>
      <c r="J663" s="12" t="str">
        <f t="shared" si="153"/>
        <v/>
      </c>
      <c r="K663" s="12" t="str">
        <f t="shared" si="154"/>
        <v/>
      </c>
      <c r="L663" s="12" t="str">
        <f t="shared" si="155"/>
        <v/>
      </c>
      <c r="M663" s="12" t="str">
        <f t="shared" si="156"/>
        <v/>
      </c>
      <c r="N663" s="12" t="str">
        <f t="shared" si="157"/>
        <v/>
      </c>
      <c r="O663" s="12" t="str">
        <f t="shared" si="158"/>
        <v/>
      </c>
      <c r="P663" s="12" t="str">
        <f t="shared" si="159"/>
        <v/>
      </c>
      <c r="Q663" s="12" t="e">
        <f t="shared" si="148"/>
        <v>#VALUE!</v>
      </c>
      <c r="R663" s="39" t="str">
        <f t="shared" si="161"/>
        <v/>
      </c>
      <c r="V663" s="12" t="str">
        <f t="shared" si="150"/>
        <v/>
      </c>
      <c r="W663" s="22" t="str">
        <f t="shared" si="149"/>
        <v/>
      </c>
    </row>
    <row r="664" spans="7:23" x14ac:dyDescent="0.25">
      <c r="G664" s="12" t="str">
        <f t="shared" si="160"/>
        <v/>
      </c>
      <c r="H664" s="12" t="str">
        <f t="shared" si="151"/>
        <v/>
      </c>
      <c r="I664" s="12" t="str">
        <f t="shared" si="152"/>
        <v/>
      </c>
      <c r="J664" s="12" t="str">
        <f t="shared" si="153"/>
        <v/>
      </c>
      <c r="K664" s="12" t="str">
        <f t="shared" si="154"/>
        <v/>
      </c>
      <c r="L664" s="12" t="str">
        <f t="shared" si="155"/>
        <v/>
      </c>
      <c r="M664" s="12" t="str">
        <f t="shared" si="156"/>
        <v/>
      </c>
      <c r="N664" s="12" t="str">
        <f t="shared" si="157"/>
        <v/>
      </c>
      <c r="O664" s="12" t="str">
        <f t="shared" si="158"/>
        <v/>
      </c>
      <c r="P664" s="12" t="str">
        <f t="shared" si="159"/>
        <v/>
      </c>
      <c r="Q664" s="12" t="e">
        <f t="shared" si="148"/>
        <v>#VALUE!</v>
      </c>
      <c r="R664" s="39" t="str">
        <f t="shared" si="161"/>
        <v/>
      </c>
      <c r="V664" s="12" t="str">
        <f t="shared" si="150"/>
        <v/>
      </c>
      <c r="W664" s="22" t="str">
        <f t="shared" si="149"/>
        <v/>
      </c>
    </row>
    <row r="665" spans="7:23" x14ac:dyDescent="0.25">
      <c r="G665" s="12" t="str">
        <f t="shared" si="160"/>
        <v/>
      </c>
      <c r="H665" s="12" t="str">
        <f t="shared" si="151"/>
        <v/>
      </c>
      <c r="I665" s="12" t="str">
        <f t="shared" si="152"/>
        <v/>
      </c>
      <c r="J665" s="12" t="str">
        <f t="shared" si="153"/>
        <v/>
      </c>
      <c r="K665" s="12" t="str">
        <f t="shared" si="154"/>
        <v/>
      </c>
      <c r="L665" s="12" t="str">
        <f t="shared" si="155"/>
        <v/>
      </c>
      <c r="M665" s="12" t="str">
        <f t="shared" si="156"/>
        <v/>
      </c>
      <c r="N665" s="12" t="str">
        <f t="shared" si="157"/>
        <v/>
      </c>
      <c r="O665" s="12" t="str">
        <f t="shared" si="158"/>
        <v/>
      </c>
      <c r="P665" s="12" t="str">
        <f t="shared" si="159"/>
        <v/>
      </c>
      <c r="Q665" s="12" t="e">
        <f t="shared" si="148"/>
        <v>#VALUE!</v>
      </c>
      <c r="R665" s="39" t="str">
        <f t="shared" si="161"/>
        <v/>
      </c>
      <c r="V665" s="12" t="str">
        <f t="shared" si="150"/>
        <v/>
      </c>
      <c r="W665" s="22" t="str">
        <f t="shared" si="149"/>
        <v/>
      </c>
    </row>
    <row r="666" spans="7:23" x14ac:dyDescent="0.25">
      <c r="G666" s="12" t="str">
        <f t="shared" si="160"/>
        <v/>
      </c>
      <c r="H666" s="12" t="str">
        <f t="shared" si="151"/>
        <v/>
      </c>
      <c r="I666" s="12" t="str">
        <f t="shared" si="152"/>
        <v/>
      </c>
      <c r="J666" s="12" t="str">
        <f t="shared" si="153"/>
        <v/>
      </c>
      <c r="K666" s="12" t="str">
        <f t="shared" si="154"/>
        <v/>
      </c>
      <c r="L666" s="12" t="str">
        <f t="shared" si="155"/>
        <v/>
      </c>
      <c r="M666" s="12" t="str">
        <f t="shared" si="156"/>
        <v/>
      </c>
      <c r="N666" s="12" t="str">
        <f t="shared" si="157"/>
        <v/>
      </c>
      <c r="O666" s="12" t="str">
        <f t="shared" si="158"/>
        <v/>
      </c>
      <c r="P666" s="12" t="str">
        <f t="shared" si="159"/>
        <v/>
      </c>
      <c r="Q666" s="12" t="e">
        <f t="shared" si="148"/>
        <v>#VALUE!</v>
      </c>
      <c r="R666" s="39" t="str">
        <f t="shared" si="161"/>
        <v/>
      </c>
      <c r="V666" s="12" t="str">
        <f t="shared" si="150"/>
        <v/>
      </c>
      <c r="W666" s="22" t="str">
        <f t="shared" si="149"/>
        <v/>
      </c>
    </row>
    <row r="667" spans="7:23" x14ac:dyDescent="0.25">
      <c r="G667" s="12" t="str">
        <f t="shared" si="160"/>
        <v/>
      </c>
      <c r="H667" s="12" t="str">
        <f t="shared" si="151"/>
        <v/>
      </c>
      <c r="I667" s="12" t="str">
        <f t="shared" si="152"/>
        <v/>
      </c>
      <c r="J667" s="12" t="str">
        <f t="shared" si="153"/>
        <v/>
      </c>
      <c r="K667" s="12" t="str">
        <f t="shared" si="154"/>
        <v/>
      </c>
      <c r="L667" s="12" t="str">
        <f t="shared" si="155"/>
        <v/>
      </c>
      <c r="M667" s="12" t="str">
        <f t="shared" si="156"/>
        <v/>
      </c>
      <c r="N667" s="12" t="str">
        <f t="shared" si="157"/>
        <v/>
      </c>
      <c r="O667" s="12" t="str">
        <f t="shared" si="158"/>
        <v/>
      </c>
      <c r="P667" s="12" t="str">
        <f t="shared" si="159"/>
        <v/>
      </c>
      <c r="Q667" s="12" t="e">
        <f t="shared" si="148"/>
        <v>#VALUE!</v>
      </c>
      <c r="R667" s="39" t="str">
        <f t="shared" si="161"/>
        <v/>
      </c>
      <c r="V667" s="12" t="str">
        <f t="shared" si="150"/>
        <v/>
      </c>
      <c r="W667" s="22" t="str">
        <f t="shared" si="149"/>
        <v/>
      </c>
    </row>
    <row r="668" spans="7:23" x14ac:dyDescent="0.25">
      <c r="G668" s="12" t="str">
        <f t="shared" si="160"/>
        <v/>
      </c>
      <c r="H668" s="12" t="str">
        <f t="shared" si="151"/>
        <v/>
      </c>
      <c r="I668" s="12" t="str">
        <f t="shared" si="152"/>
        <v/>
      </c>
      <c r="J668" s="12" t="str">
        <f t="shared" si="153"/>
        <v/>
      </c>
      <c r="K668" s="12" t="str">
        <f t="shared" si="154"/>
        <v/>
      </c>
      <c r="L668" s="12" t="str">
        <f t="shared" si="155"/>
        <v/>
      </c>
      <c r="M668" s="12" t="str">
        <f t="shared" si="156"/>
        <v/>
      </c>
      <c r="N668" s="12" t="str">
        <f t="shared" si="157"/>
        <v/>
      </c>
      <c r="O668" s="12" t="str">
        <f t="shared" si="158"/>
        <v/>
      </c>
      <c r="P668" s="12" t="str">
        <f t="shared" si="159"/>
        <v/>
      </c>
      <c r="Q668" s="12" t="e">
        <f t="shared" si="148"/>
        <v>#VALUE!</v>
      </c>
      <c r="R668" s="39" t="str">
        <f t="shared" si="161"/>
        <v/>
      </c>
      <c r="V668" s="12" t="str">
        <f t="shared" si="150"/>
        <v/>
      </c>
      <c r="W668" s="22" t="str">
        <f t="shared" si="149"/>
        <v/>
      </c>
    </row>
    <row r="669" spans="7:23" x14ac:dyDescent="0.25">
      <c r="G669" s="12" t="str">
        <f t="shared" si="160"/>
        <v/>
      </c>
      <c r="H669" s="12" t="str">
        <f t="shared" si="151"/>
        <v/>
      </c>
      <c r="I669" s="12" t="str">
        <f t="shared" si="152"/>
        <v/>
      </c>
      <c r="J669" s="12" t="str">
        <f t="shared" si="153"/>
        <v/>
      </c>
      <c r="K669" s="12" t="str">
        <f t="shared" si="154"/>
        <v/>
      </c>
      <c r="L669" s="12" t="str">
        <f t="shared" si="155"/>
        <v/>
      </c>
      <c r="M669" s="12" t="str">
        <f t="shared" si="156"/>
        <v/>
      </c>
      <c r="N669" s="12" t="str">
        <f t="shared" si="157"/>
        <v/>
      </c>
      <c r="O669" s="12" t="str">
        <f t="shared" si="158"/>
        <v/>
      </c>
      <c r="P669" s="12" t="str">
        <f t="shared" si="159"/>
        <v/>
      </c>
      <c r="Q669" s="12" t="e">
        <f t="shared" si="148"/>
        <v>#VALUE!</v>
      </c>
      <c r="R669" s="39" t="str">
        <f t="shared" si="161"/>
        <v/>
      </c>
      <c r="V669" s="12" t="str">
        <f t="shared" si="150"/>
        <v/>
      </c>
      <c r="W669" s="22" t="str">
        <f t="shared" si="149"/>
        <v/>
      </c>
    </row>
    <row r="670" spans="7:23" x14ac:dyDescent="0.25">
      <c r="G670" s="12" t="str">
        <f t="shared" si="160"/>
        <v/>
      </c>
      <c r="H670" s="12" t="str">
        <f t="shared" si="151"/>
        <v/>
      </c>
      <c r="I670" s="12" t="str">
        <f t="shared" si="152"/>
        <v/>
      </c>
      <c r="J670" s="12" t="str">
        <f t="shared" si="153"/>
        <v/>
      </c>
      <c r="K670" s="12" t="str">
        <f t="shared" si="154"/>
        <v/>
      </c>
      <c r="L670" s="12" t="str">
        <f t="shared" si="155"/>
        <v/>
      </c>
      <c r="M670" s="12" t="str">
        <f t="shared" si="156"/>
        <v/>
      </c>
      <c r="N670" s="12" t="str">
        <f t="shared" si="157"/>
        <v/>
      </c>
      <c r="O670" s="12" t="str">
        <f t="shared" si="158"/>
        <v/>
      </c>
      <c r="P670" s="12" t="str">
        <f t="shared" si="159"/>
        <v/>
      </c>
      <c r="Q670" s="12" t="e">
        <f t="shared" si="148"/>
        <v>#VALUE!</v>
      </c>
      <c r="R670" s="39" t="str">
        <f t="shared" si="161"/>
        <v/>
      </c>
      <c r="V670" s="12" t="str">
        <f t="shared" si="150"/>
        <v/>
      </c>
      <c r="W670" s="22" t="str">
        <f t="shared" si="149"/>
        <v/>
      </c>
    </row>
    <row r="671" spans="7:23" x14ac:dyDescent="0.25">
      <c r="G671" s="12" t="str">
        <f t="shared" si="160"/>
        <v/>
      </c>
      <c r="H671" s="12" t="str">
        <f t="shared" si="151"/>
        <v/>
      </c>
      <c r="I671" s="12" t="str">
        <f t="shared" si="152"/>
        <v/>
      </c>
      <c r="J671" s="12" t="str">
        <f t="shared" si="153"/>
        <v/>
      </c>
      <c r="K671" s="12" t="str">
        <f t="shared" si="154"/>
        <v/>
      </c>
      <c r="L671" s="12" t="str">
        <f t="shared" si="155"/>
        <v/>
      </c>
      <c r="M671" s="12" t="str">
        <f t="shared" si="156"/>
        <v/>
      </c>
      <c r="N671" s="12" t="str">
        <f t="shared" si="157"/>
        <v/>
      </c>
      <c r="O671" s="12" t="str">
        <f t="shared" si="158"/>
        <v/>
      </c>
      <c r="P671" s="12" t="str">
        <f t="shared" si="159"/>
        <v/>
      </c>
      <c r="Q671" s="12" t="e">
        <f t="shared" si="148"/>
        <v>#VALUE!</v>
      </c>
      <c r="R671" s="39" t="str">
        <f t="shared" si="161"/>
        <v/>
      </c>
      <c r="V671" s="12" t="str">
        <f t="shared" si="150"/>
        <v/>
      </c>
      <c r="W671" s="22" t="str">
        <f t="shared" si="149"/>
        <v/>
      </c>
    </row>
    <row r="672" spans="7:23" x14ac:dyDescent="0.25">
      <c r="G672" s="12" t="str">
        <f t="shared" si="160"/>
        <v/>
      </c>
      <c r="H672" s="12" t="str">
        <f t="shared" si="151"/>
        <v/>
      </c>
      <c r="I672" s="12" t="str">
        <f t="shared" si="152"/>
        <v/>
      </c>
      <c r="J672" s="12" t="str">
        <f t="shared" si="153"/>
        <v/>
      </c>
      <c r="K672" s="12" t="str">
        <f t="shared" si="154"/>
        <v/>
      </c>
      <c r="L672" s="12" t="str">
        <f t="shared" si="155"/>
        <v/>
      </c>
      <c r="M672" s="12" t="str">
        <f t="shared" si="156"/>
        <v/>
      </c>
      <c r="N672" s="12" t="str">
        <f t="shared" si="157"/>
        <v/>
      </c>
      <c r="O672" s="12" t="str">
        <f t="shared" si="158"/>
        <v/>
      </c>
      <c r="P672" s="12" t="str">
        <f t="shared" si="159"/>
        <v/>
      </c>
      <c r="Q672" s="12" t="e">
        <f t="shared" si="148"/>
        <v>#VALUE!</v>
      </c>
      <c r="R672" s="39" t="str">
        <f t="shared" si="161"/>
        <v/>
      </c>
      <c r="V672" s="12" t="str">
        <f t="shared" si="150"/>
        <v/>
      </c>
      <c r="W672" s="22" t="str">
        <f t="shared" si="149"/>
        <v/>
      </c>
    </row>
    <row r="673" spans="7:23" x14ac:dyDescent="0.25">
      <c r="G673" s="12" t="str">
        <f t="shared" si="160"/>
        <v/>
      </c>
      <c r="H673" s="12" t="str">
        <f t="shared" si="151"/>
        <v/>
      </c>
      <c r="I673" s="12" t="str">
        <f t="shared" si="152"/>
        <v/>
      </c>
      <c r="J673" s="12" t="str">
        <f t="shared" si="153"/>
        <v/>
      </c>
      <c r="K673" s="12" t="str">
        <f t="shared" si="154"/>
        <v/>
      </c>
      <c r="L673" s="12" t="str">
        <f t="shared" si="155"/>
        <v/>
      </c>
      <c r="M673" s="12" t="str">
        <f t="shared" si="156"/>
        <v/>
      </c>
      <c r="N673" s="12" t="str">
        <f t="shared" si="157"/>
        <v/>
      </c>
      <c r="O673" s="12" t="str">
        <f t="shared" si="158"/>
        <v/>
      </c>
      <c r="P673" s="12" t="str">
        <f t="shared" si="159"/>
        <v/>
      </c>
      <c r="Q673" s="12" t="e">
        <f t="shared" ref="Q673:Q707" si="162">G673-G672</f>
        <v>#VALUE!</v>
      </c>
      <c r="R673" s="39" t="str">
        <f t="shared" si="161"/>
        <v/>
      </c>
      <c r="V673" s="12" t="str">
        <f t="shared" si="150"/>
        <v/>
      </c>
      <c r="W673" s="22" t="str">
        <f t="shared" si="149"/>
        <v/>
      </c>
    </row>
    <row r="674" spans="7:23" x14ac:dyDescent="0.25">
      <c r="G674" s="12" t="str">
        <f t="shared" si="160"/>
        <v/>
      </c>
      <c r="H674" s="12" t="str">
        <f t="shared" si="151"/>
        <v/>
      </c>
      <c r="I674" s="12" t="str">
        <f t="shared" si="152"/>
        <v/>
      </c>
      <c r="J674" s="12" t="str">
        <f t="shared" si="153"/>
        <v/>
      </c>
      <c r="K674" s="12" t="str">
        <f t="shared" si="154"/>
        <v/>
      </c>
      <c r="L674" s="12" t="str">
        <f t="shared" si="155"/>
        <v/>
      </c>
      <c r="M674" s="12" t="str">
        <f t="shared" si="156"/>
        <v/>
      </c>
      <c r="N674" s="12" t="str">
        <f t="shared" si="157"/>
        <v/>
      </c>
      <c r="O674" s="12" t="str">
        <f t="shared" si="158"/>
        <v/>
      </c>
      <c r="P674" s="12" t="str">
        <f t="shared" si="159"/>
        <v/>
      </c>
      <c r="Q674" s="12" t="e">
        <f t="shared" si="162"/>
        <v>#VALUE!</v>
      </c>
      <c r="R674" s="39" t="str">
        <f t="shared" si="161"/>
        <v/>
      </c>
      <c r="V674" s="12" t="str">
        <f t="shared" si="150"/>
        <v/>
      </c>
      <c r="W674" s="22" t="str">
        <f t="shared" si="149"/>
        <v/>
      </c>
    </row>
    <row r="675" spans="7:23" x14ac:dyDescent="0.25">
      <c r="G675" s="12" t="str">
        <f t="shared" si="160"/>
        <v/>
      </c>
      <c r="H675" s="12" t="str">
        <f t="shared" si="151"/>
        <v/>
      </c>
      <c r="I675" s="12" t="str">
        <f t="shared" si="152"/>
        <v/>
      </c>
      <c r="J675" s="12" t="str">
        <f t="shared" si="153"/>
        <v/>
      </c>
      <c r="K675" s="12" t="str">
        <f t="shared" si="154"/>
        <v/>
      </c>
      <c r="L675" s="12" t="str">
        <f t="shared" si="155"/>
        <v/>
      </c>
      <c r="M675" s="12" t="str">
        <f t="shared" si="156"/>
        <v/>
      </c>
      <c r="N675" s="12" t="str">
        <f t="shared" si="157"/>
        <v/>
      </c>
      <c r="O675" s="12" t="str">
        <f t="shared" si="158"/>
        <v/>
      </c>
      <c r="P675" s="12" t="str">
        <f t="shared" si="159"/>
        <v/>
      </c>
      <c r="Q675" s="12" t="e">
        <f t="shared" si="162"/>
        <v>#VALUE!</v>
      </c>
      <c r="R675" s="39" t="str">
        <f t="shared" si="161"/>
        <v/>
      </c>
      <c r="V675" s="12" t="str">
        <f t="shared" si="150"/>
        <v/>
      </c>
      <c r="W675" s="22" t="str">
        <f t="shared" si="149"/>
        <v/>
      </c>
    </row>
    <row r="676" spans="7:23" x14ac:dyDescent="0.25">
      <c r="G676" s="12" t="str">
        <f t="shared" si="160"/>
        <v/>
      </c>
      <c r="H676" s="12" t="str">
        <f t="shared" si="151"/>
        <v/>
      </c>
      <c r="I676" s="12" t="str">
        <f t="shared" si="152"/>
        <v/>
      </c>
      <c r="J676" s="12" t="str">
        <f t="shared" si="153"/>
        <v/>
      </c>
      <c r="K676" s="12" t="str">
        <f t="shared" si="154"/>
        <v/>
      </c>
      <c r="L676" s="12" t="str">
        <f t="shared" si="155"/>
        <v/>
      </c>
      <c r="M676" s="12" t="str">
        <f t="shared" si="156"/>
        <v/>
      </c>
      <c r="N676" s="12" t="str">
        <f t="shared" si="157"/>
        <v/>
      </c>
      <c r="O676" s="12" t="str">
        <f t="shared" si="158"/>
        <v/>
      </c>
      <c r="P676" s="12" t="str">
        <f t="shared" si="159"/>
        <v/>
      </c>
      <c r="Q676" s="12" t="e">
        <f t="shared" si="162"/>
        <v>#VALUE!</v>
      </c>
      <c r="R676" s="39" t="str">
        <f t="shared" si="161"/>
        <v/>
      </c>
      <c r="V676" s="12" t="str">
        <f t="shared" si="150"/>
        <v/>
      </c>
      <c r="W676" s="22" t="str">
        <f t="shared" si="149"/>
        <v/>
      </c>
    </row>
    <row r="677" spans="7:23" x14ac:dyDescent="0.25">
      <c r="G677" s="12" t="str">
        <f t="shared" si="160"/>
        <v/>
      </c>
      <c r="H677" s="12" t="str">
        <f t="shared" si="151"/>
        <v/>
      </c>
      <c r="I677" s="12" t="str">
        <f t="shared" si="152"/>
        <v/>
      </c>
      <c r="J677" s="12" t="str">
        <f t="shared" si="153"/>
        <v/>
      </c>
      <c r="K677" s="12" t="str">
        <f t="shared" si="154"/>
        <v/>
      </c>
      <c r="L677" s="12" t="str">
        <f t="shared" si="155"/>
        <v/>
      </c>
      <c r="M677" s="12" t="str">
        <f t="shared" si="156"/>
        <v/>
      </c>
      <c r="N677" s="12" t="str">
        <f t="shared" si="157"/>
        <v/>
      </c>
      <c r="O677" s="12" t="str">
        <f t="shared" si="158"/>
        <v/>
      </c>
      <c r="P677" s="12" t="str">
        <f t="shared" si="159"/>
        <v/>
      </c>
      <c r="Q677" s="12" t="e">
        <f t="shared" si="162"/>
        <v>#VALUE!</v>
      </c>
      <c r="R677" s="39" t="str">
        <f t="shared" si="161"/>
        <v/>
      </c>
      <c r="V677" s="12" t="str">
        <f t="shared" si="150"/>
        <v/>
      </c>
      <c r="W677" s="22" t="str">
        <f t="shared" si="149"/>
        <v/>
      </c>
    </row>
    <row r="678" spans="7:23" x14ac:dyDescent="0.25">
      <c r="G678" s="12" t="str">
        <f t="shared" si="160"/>
        <v/>
      </c>
      <c r="H678" s="12" t="str">
        <f t="shared" si="151"/>
        <v/>
      </c>
      <c r="I678" s="12" t="str">
        <f t="shared" si="152"/>
        <v/>
      </c>
      <c r="J678" s="12" t="str">
        <f t="shared" si="153"/>
        <v/>
      </c>
      <c r="K678" s="12" t="str">
        <f t="shared" si="154"/>
        <v/>
      </c>
      <c r="L678" s="12" t="str">
        <f t="shared" si="155"/>
        <v/>
      </c>
      <c r="M678" s="12" t="str">
        <f t="shared" si="156"/>
        <v/>
      </c>
      <c r="N678" s="12" t="str">
        <f t="shared" si="157"/>
        <v/>
      </c>
      <c r="O678" s="12" t="str">
        <f t="shared" si="158"/>
        <v/>
      </c>
      <c r="P678" s="12" t="str">
        <f t="shared" si="159"/>
        <v/>
      </c>
      <c r="Q678" s="12" t="e">
        <f t="shared" si="162"/>
        <v>#VALUE!</v>
      </c>
      <c r="R678" s="39" t="str">
        <f t="shared" si="161"/>
        <v/>
      </c>
      <c r="V678" s="12" t="str">
        <f t="shared" si="150"/>
        <v/>
      </c>
      <c r="W678" s="22" t="str">
        <f t="shared" si="149"/>
        <v/>
      </c>
    </row>
    <row r="679" spans="7:23" x14ac:dyDescent="0.25">
      <c r="G679" s="12" t="str">
        <f t="shared" si="160"/>
        <v/>
      </c>
      <c r="H679" s="12" t="str">
        <f t="shared" si="151"/>
        <v/>
      </c>
      <c r="I679" s="12" t="str">
        <f t="shared" si="152"/>
        <v/>
      </c>
      <c r="J679" s="12" t="str">
        <f t="shared" si="153"/>
        <v/>
      </c>
      <c r="K679" s="12" t="str">
        <f t="shared" si="154"/>
        <v/>
      </c>
      <c r="L679" s="12" t="str">
        <f t="shared" si="155"/>
        <v/>
      </c>
      <c r="M679" s="12" t="str">
        <f t="shared" si="156"/>
        <v/>
      </c>
      <c r="N679" s="12" t="str">
        <f t="shared" si="157"/>
        <v/>
      </c>
      <c r="O679" s="12" t="str">
        <f t="shared" si="158"/>
        <v/>
      </c>
      <c r="P679" s="12" t="str">
        <f t="shared" si="159"/>
        <v/>
      </c>
      <c r="Q679" s="12" t="e">
        <f t="shared" si="162"/>
        <v>#VALUE!</v>
      </c>
      <c r="R679" s="39" t="str">
        <f t="shared" si="161"/>
        <v/>
      </c>
      <c r="V679" s="12" t="str">
        <f t="shared" si="150"/>
        <v/>
      </c>
      <c r="W679" s="22" t="str">
        <f t="shared" si="149"/>
        <v/>
      </c>
    </row>
    <row r="680" spans="7:23" x14ac:dyDescent="0.25">
      <c r="G680" s="12" t="str">
        <f t="shared" si="160"/>
        <v/>
      </c>
      <c r="H680" s="12" t="str">
        <f t="shared" si="151"/>
        <v/>
      </c>
      <c r="I680" s="12" t="str">
        <f t="shared" si="152"/>
        <v/>
      </c>
      <c r="J680" s="12" t="str">
        <f t="shared" si="153"/>
        <v/>
      </c>
      <c r="K680" s="12" t="str">
        <f t="shared" si="154"/>
        <v/>
      </c>
      <c r="L680" s="12" t="str">
        <f t="shared" si="155"/>
        <v/>
      </c>
      <c r="M680" s="12" t="str">
        <f t="shared" si="156"/>
        <v/>
      </c>
      <c r="N680" s="12" t="str">
        <f t="shared" si="157"/>
        <v/>
      </c>
      <c r="O680" s="12" t="str">
        <f t="shared" si="158"/>
        <v/>
      </c>
      <c r="P680" s="12" t="str">
        <f t="shared" si="159"/>
        <v/>
      </c>
      <c r="Q680" s="12" t="e">
        <f t="shared" si="162"/>
        <v>#VALUE!</v>
      </c>
      <c r="R680" s="39" t="str">
        <f t="shared" si="161"/>
        <v/>
      </c>
      <c r="V680" s="12" t="str">
        <f t="shared" si="150"/>
        <v/>
      </c>
      <c r="W680" s="22" t="str">
        <f t="shared" si="149"/>
        <v/>
      </c>
    </row>
    <row r="681" spans="7:23" x14ac:dyDescent="0.25">
      <c r="G681" s="12" t="str">
        <f t="shared" si="160"/>
        <v/>
      </c>
      <c r="H681" s="12" t="str">
        <f t="shared" si="151"/>
        <v/>
      </c>
      <c r="I681" s="12" t="str">
        <f t="shared" si="152"/>
        <v/>
      </c>
      <c r="J681" s="12" t="str">
        <f t="shared" si="153"/>
        <v/>
      </c>
      <c r="K681" s="12" t="str">
        <f t="shared" si="154"/>
        <v/>
      </c>
      <c r="L681" s="12" t="str">
        <f t="shared" si="155"/>
        <v/>
      </c>
      <c r="M681" s="12" t="str">
        <f t="shared" si="156"/>
        <v/>
      </c>
      <c r="N681" s="12" t="str">
        <f t="shared" si="157"/>
        <v/>
      </c>
      <c r="O681" s="12" t="str">
        <f t="shared" si="158"/>
        <v/>
      </c>
      <c r="P681" s="12" t="str">
        <f t="shared" si="159"/>
        <v/>
      </c>
      <c r="Q681" s="12" t="e">
        <f t="shared" si="162"/>
        <v>#VALUE!</v>
      </c>
      <c r="R681" s="39" t="str">
        <f t="shared" si="161"/>
        <v/>
      </c>
      <c r="V681" s="12" t="str">
        <f t="shared" si="150"/>
        <v/>
      </c>
      <c r="W681" s="22" t="str">
        <f t="shared" si="149"/>
        <v/>
      </c>
    </row>
    <row r="682" spans="7:23" x14ac:dyDescent="0.25">
      <c r="G682" s="12" t="str">
        <f t="shared" si="160"/>
        <v/>
      </c>
      <c r="H682" s="12" t="str">
        <f t="shared" si="151"/>
        <v/>
      </c>
      <c r="I682" s="12" t="str">
        <f t="shared" si="152"/>
        <v/>
      </c>
      <c r="J682" s="12" t="str">
        <f t="shared" si="153"/>
        <v/>
      </c>
      <c r="K682" s="12" t="str">
        <f t="shared" si="154"/>
        <v/>
      </c>
      <c r="L682" s="12" t="str">
        <f t="shared" si="155"/>
        <v/>
      </c>
      <c r="M682" s="12" t="str">
        <f t="shared" si="156"/>
        <v/>
      </c>
      <c r="N682" s="12" t="str">
        <f t="shared" si="157"/>
        <v/>
      </c>
      <c r="O682" s="12" t="str">
        <f t="shared" si="158"/>
        <v/>
      </c>
      <c r="P682" s="12" t="str">
        <f t="shared" si="159"/>
        <v/>
      </c>
      <c r="Q682" s="12" t="e">
        <f t="shared" si="162"/>
        <v>#VALUE!</v>
      </c>
      <c r="R682" s="39" t="str">
        <f t="shared" si="161"/>
        <v/>
      </c>
      <c r="V682" s="12" t="str">
        <f t="shared" si="150"/>
        <v/>
      </c>
      <c r="W682" s="22" t="str">
        <f t="shared" si="149"/>
        <v/>
      </c>
    </row>
    <row r="683" spans="7:23" x14ac:dyDescent="0.25">
      <c r="G683" s="12" t="str">
        <f t="shared" si="160"/>
        <v/>
      </c>
      <c r="H683" s="12" t="str">
        <f t="shared" si="151"/>
        <v/>
      </c>
      <c r="I683" s="12" t="str">
        <f t="shared" si="152"/>
        <v/>
      </c>
      <c r="J683" s="12" t="str">
        <f t="shared" si="153"/>
        <v/>
      </c>
      <c r="K683" s="12" t="str">
        <f t="shared" si="154"/>
        <v/>
      </c>
      <c r="L683" s="12" t="str">
        <f t="shared" si="155"/>
        <v/>
      </c>
      <c r="M683" s="12" t="str">
        <f t="shared" si="156"/>
        <v/>
      </c>
      <c r="N683" s="12" t="str">
        <f t="shared" si="157"/>
        <v/>
      </c>
      <c r="O683" s="12" t="str">
        <f t="shared" si="158"/>
        <v/>
      </c>
      <c r="P683" s="12" t="str">
        <f t="shared" si="159"/>
        <v/>
      </c>
      <c r="Q683" s="12" t="e">
        <f t="shared" si="162"/>
        <v>#VALUE!</v>
      </c>
      <c r="R683" s="39" t="str">
        <f t="shared" si="161"/>
        <v/>
      </c>
      <c r="V683" s="12" t="str">
        <f t="shared" si="150"/>
        <v/>
      </c>
      <c r="W683" s="22" t="str">
        <f t="shared" si="149"/>
        <v/>
      </c>
    </row>
    <row r="684" spans="7:23" x14ac:dyDescent="0.25">
      <c r="G684" s="12" t="str">
        <f t="shared" si="160"/>
        <v/>
      </c>
      <c r="H684" s="12" t="str">
        <f t="shared" si="151"/>
        <v/>
      </c>
      <c r="I684" s="12" t="str">
        <f t="shared" si="152"/>
        <v/>
      </c>
      <c r="J684" s="12" t="str">
        <f t="shared" si="153"/>
        <v/>
      </c>
      <c r="K684" s="12" t="str">
        <f t="shared" si="154"/>
        <v/>
      </c>
      <c r="L684" s="12" t="str">
        <f t="shared" si="155"/>
        <v/>
      </c>
      <c r="M684" s="12" t="str">
        <f t="shared" si="156"/>
        <v/>
      </c>
      <c r="N684" s="12" t="str">
        <f t="shared" si="157"/>
        <v/>
      </c>
      <c r="O684" s="12" t="str">
        <f t="shared" si="158"/>
        <v/>
      </c>
      <c r="P684" s="12" t="str">
        <f t="shared" si="159"/>
        <v/>
      </c>
      <c r="Q684" s="12" t="e">
        <f t="shared" si="162"/>
        <v>#VALUE!</v>
      </c>
      <c r="R684" s="39" t="str">
        <f t="shared" si="161"/>
        <v/>
      </c>
      <c r="V684" s="12" t="str">
        <f t="shared" si="150"/>
        <v/>
      </c>
      <c r="W684" s="22" t="str">
        <f t="shared" si="149"/>
        <v/>
      </c>
    </row>
    <row r="685" spans="7:23" x14ac:dyDescent="0.25">
      <c r="G685" s="12" t="str">
        <f t="shared" si="160"/>
        <v/>
      </c>
      <c r="H685" s="12" t="str">
        <f t="shared" si="151"/>
        <v/>
      </c>
      <c r="I685" s="12" t="str">
        <f t="shared" si="152"/>
        <v/>
      </c>
      <c r="J685" s="12" t="str">
        <f t="shared" si="153"/>
        <v/>
      </c>
      <c r="K685" s="12" t="str">
        <f t="shared" si="154"/>
        <v/>
      </c>
      <c r="L685" s="12" t="str">
        <f t="shared" si="155"/>
        <v/>
      </c>
      <c r="M685" s="12" t="str">
        <f t="shared" si="156"/>
        <v/>
      </c>
      <c r="N685" s="12" t="str">
        <f t="shared" si="157"/>
        <v/>
      </c>
      <c r="O685" s="12" t="str">
        <f t="shared" si="158"/>
        <v/>
      </c>
      <c r="P685" s="12" t="str">
        <f t="shared" si="159"/>
        <v/>
      </c>
      <c r="Q685" s="12" t="e">
        <f t="shared" si="162"/>
        <v>#VALUE!</v>
      </c>
      <c r="R685" s="39" t="str">
        <f t="shared" si="161"/>
        <v/>
      </c>
      <c r="V685" s="12" t="str">
        <f t="shared" si="150"/>
        <v/>
      </c>
      <c r="W685" s="22" t="str">
        <f t="shared" si="149"/>
        <v/>
      </c>
    </row>
    <row r="686" spans="7:23" x14ac:dyDescent="0.25">
      <c r="G686" s="12" t="str">
        <f t="shared" si="160"/>
        <v/>
      </c>
      <c r="H686" s="12" t="str">
        <f t="shared" si="151"/>
        <v/>
      </c>
      <c r="I686" s="12" t="str">
        <f t="shared" si="152"/>
        <v/>
      </c>
      <c r="J686" s="12" t="str">
        <f t="shared" si="153"/>
        <v/>
      </c>
      <c r="K686" s="12" t="str">
        <f t="shared" si="154"/>
        <v/>
      </c>
      <c r="L686" s="12" t="str">
        <f t="shared" si="155"/>
        <v/>
      </c>
      <c r="M686" s="12" t="str">
        <f t="shared" si="156"/>
        <v/>
      </c>
      <c r="N686" s="12" t="str">
        <f t="shared" si="157"/>
        <v/>
      </c>
      <c r="O686" s="12" t="str">
        <f t="shared" si="158"/>
        <v/>
      </c>
      <c r="P686" s="12" t="str">
        <f t="shared" si="159"/>
        <v/>
      </c>
      <c r="Q686" s="12" t="e">
        <f t="shared" si="162"/>
        <v>#VALUE!</v>
      </c>
      <c r="R686" s="39" t="str">
        <f t="shared" si="161"/>
        <v/>
      </c>
      <c r="V686" s="12" t="str">
        <f t="shared" si="150"/>
        <v/>
      </c>
      <c r="W686" s="22" t="str">
        <f t="shared" si="149"/>
        <v/>
      </c>
    </row>
    <row r="687" spans="7:23" x14ac:dyDescent="0.25">
      <c r="G687" s="12" t="str">
        <f t="shared" si="160"/>
        <v/>
      </c>
      <c r="H687" s="12" t="str">
        <f t="shared" si="151"/>
        <v/>
      </c>
      <c r="I687" s="12" t="str">
        <f t="shared" si="152"/>
        <v/>
      </c>
      <c r="J687" s="12" t="str">
        <f t="shared" si="153"/>
        <v/>
      </c>
      <c r="K687" s="12" t="str">
        <f t="shared" si="154"/>
        <v/>
      </c>
      <c r="L687" s="12" t="str">
        <f t="shared" si="155"/>
        <v/>
      </c>
      <c r="M687" s="12" t="str">
        <f t="shared" si="156"/>
        <v/>
      </c>
      <c r="N687" s="12" t="str">
        <f t="shared" si="157"/>
        <v/>
      </c>
      <c r="O687" s="12" t="str">
        <f t="shared" si="158"/>
        <v/>
      </c>
      <c r="P687" s="12" t="str">
        <f t="shared" si="159"/>
        <v/>
      </c>
      <c r="Q687" s="12" t="e">
        <f t="shared" si="162"/>
        <v>#VALUE!</v>
      </c>
      <c r="R687" s="39" t="str">
        <f t="shared" si="161"/>
        <v/>
      </c>
      <c r="V687" s="12" t="str">
        <f t="shared" si="150"/>
        <v/>
      </c>
      <c r="W687" s="22" t="str">
        <f t="shared" si="149"/>
        <v/>
      </c>
    </row>
    <row r="688" spans="7:23" x14ac:dyDescent="0.25">
      <c r="G688" s="12" t="str">
        <f t="shared" si="160"/>
        <v/>
      </c>
      <c r="H688" s="12" t="str">
        <f t="shared" si="151"/>
        <v/>
      </c>
      <c r="I688" s="12" t="str">
        <f t="shared" si="152"/>
        <v/>
      </c>
      <c r="J688" s="12" t="str">
        <f t="shared" si="153"/>
        <v/>
      </c>
      <c r="K688" s="12" t="str">
        <f t="shared" si="154"/>
        <v/>
      </c>
      <c r="L688" s="12" t="str">
        <f t="shared" si="155"/>
        <v/>
      </c>
      <c r="M688" s="12" t="str">
        <f t="shared" si="156"/>
        <v/>
      </c>
      <c r="N688" s="12" t="str">
        <f t="shared" si="157"/>
        <v/>
      </c>
      <c r="O688" s="12" t="str">
        <f t="shared" si="158"/>
        <v/>
      </c>
      <c r="P688" s="12" t="str">
        <f t="shared" si="159"/>
        <v/>
      </c>
      <c r="Q688" s="12" t="e">
        <f t="shared" si="162"/>
        <v>#VALUE!</v>
      </c>
      <c r="R688" s="39" t="str">
        <f t="shared" si="161"/>
        <v/>
      </c>
      <c r="V688" s="12" t="str">
        <f t="shared" si="150"/>
        <v/>
      </c>
      <c r="W688" s="22" t="str">
        <f t="shared" si="149"/>
        <v/>
      </c>
    </row>
    <row r="689" spans="7:23" x14ac:dyDescent="0.25">
      <c r="G689" s="12" t="str">
        <f t="shared" si="160"/>
        <v/>
      </c>
      <c r="H689" s="12" t="str">
        <f t="shared" si="151"/>
        <v/>
      </c>
      <c r="I689" s="12" t="str">
        <f t="shared" si="152"/>
        <v/>
      </c>
      <c r="J689" s="12" t="str">
        <f t="shared" si="153"/>
        <v/>
      </c>
      <c r="K689" s="12" t="str">
        <f t="shared" si="154"/>
        <v/>
      </c>
      <c r="L689" s="12" t="str">
        <f t="shared" si="155"/>
        <v/>
      </c>
      <c r="M689" s="12" t="str">
        <f t="shared" si="156"/>
        <v/>
      </c>
      <c r="N689" s="12" t="str">
        <f t="shared" si="157"/>
        <v/>
      </c>
      <c r="O689" s="12" t="str">
        <f t="shared" si="158"/>
        <v/>
      </c>
      <c r="P689" s="12" t="str">
        <f t="shared" si="159"/>
        <v/>
      </c>
      <c r="Q689" s="12" t="e">
        <f t="shared" si="162"/>
        <v>#VALUE!</v>
      </c>
      <c r="R689" s="39" t="str">
        <f t="shared" si="161"/>
        <v/>
      </c>
      <c r="V689" s="12" t="str">
        <f t="shared" si="150"/>
        <v/>
      </c>
      <c r="W689" s="22" t="str">
        <f t="shared" si="149"/>
        <v/>
      </c>
    </row>
    <row r="690" spans="7:23" x14ac:dyDescent="0.25">
      <c r="G690" s="12" t="str">
        <f t="shared" si="160"/>
        <v/>
      </c>
      <c r="H690" s="12" t="str">
        <f t="shared" si="151"/>
        <v/>
      </c>
      <c r="I690" s="12" t="str">
        <f t="shared" si="152"/>
        <v/>
      </c>
      <c r="J690" s="12" t="str">
        <f t="shared" si="153"/>
        <v/>
      </c>
      <c r="K690" s="12" t="str">
        <f t="shared" si="154"/>
        <v/>
      </c>
      <c r="L690" s="12" t="str">
        <f t="shared" si="155"/>
        <v/>
      </c>
      <c r="M690" s="12" t="str">
        <f t="shared" si="156"/>
        <v/>
      </c>
      <c r="N690" s="12" t="str">
        <f t="shared" si="157"/>
        <v/>
      </c>
      <c r="O690" s="12" t="str">
        <f t="shared" si="158"/>
        <v/>
      </c>
      <c r="P690" s="12" t="str">
        <f t="shared" si="159"/>
        <v/>
      </c>
      <c r="Q690" s="12" t="e">
        <f t="shared" si="162"/>
        <v>#VALUE!</v>
      </c>
      <c r="R690" s="39" t="str">
        <f t="shared" si="161"/>
        <v/>
      </c>
      <c r="V690" s="12" t="str">
        <f t="shared" si="150"/>
        <v/>
      </c>
      <c r="W690" s="22" t="str">
        <f t="shared" si="149"/>
        <v/>
      </c>
    </row>
    <row r="691" spans="7:23" x14ac:dyDescent="0.25">
      <c r="G691" s="12" t="str">
        <f t="shared" si="160"/>
        <v/>
      </c>
      <c r="H691" s="12" t="str">
        <f t="shared" si="151"/>
        <v/>
      </c>
      <c r="I691" s="12" t="str">
        <f t="shared" si="152"/>
        <v/>
      </c>
      <c r="J691" s="12" t="str">
        <f t="shared" si="153"/>
        <v/>
      </c>
      <c r="K691" s="12" t="str">
        <f t="shared" si="154"/>
        <v/>
      </c>
      <c r="L691" s="12" t="str">
        <f t="shared" si="155"/>
        <v/>
      </c>
      <c r="M691" s="12" t="str">
        <f t="shared" si="156"/>
        <v/>
      </c>
      <c r="N691" s="12" t="str">
        <f t="shared" si="157"/>
        <v/>
      </c>
      <c r="O691" s="12" t="str">
        <f t="shared" si="158"/>
        <v/>
      </c>
      <c r="P691" s="12" t="str">
        <f t="shared" si="159"/>
        <v/>
      </c>
      <c r="Q691" s="12" t="e">
        <f t="shared" si="162"/>
        <v>#VALUE!</v>
      </c>
      <c r="R691" s="39" t="str">
        <f t="shared" si="161"/>
        <v/>
      </c>
      <c r="V691" s="12" t="str">
        <f t="shared" si="150"/>
        <v/>
      </c>
      <c r="W691" s="22" t="str">
        <f t="shared" si="149"/>
        <v/>
      </c>
    </row>
    <row r="692" spans="7:23" x14ac:dyDescent="0.25">
      <c r="G692" s="12" t="str">
        <f t="shared" si="160"/>
        <v/>
      </c>
      <c r="H692" s="12" t="str">
        <f t="shared" si="151"/>
        <v/>
      </c>
      <c r="I692" s="12" t="str">
        <f t="shared" si="152"/>
        <v/>
      </c>
      <c r="J692" s="12" t="str">
        <f t="shared" si="153"/>
        <v/>
      </c>
      <c r="K692" s="12" t="str">
        <f t="shared" si="154"/>
        <v/>
      </c>
      <c r="L692" s="12" t="str">
        <f t="shared" si="155"/>
        <v/>
      </c>
      <c r="M692" s="12" t="str">
        <f t="shared" si="156"/>
        <v/>
      </c>
      <c r="N692" s="12" t="str">
        <f t="shared" si="157"/>
        <v/>
      </c>
      <c r="O692" s="12" t="str">
        <f t="shared" si="158"/>
        <v/>
      </c>
      <c r="P692" s="12" t="str">
        <f t="shared" si="159"/>
        <v/>
      </c>
      <c r="Q692" s="12" t="e">
        <f t="shared" si="162"/>
        <v>#VALUE!</v>
      </c>
      <c r="R692" s="39" t="str">
        <f t="shared" si="161"/>
        <v/>
      </c>
      <c r="V692" s="12" t="str">
        <f t="shared" si="150"/>
        <v/>
      </c>
      <c r="W692" s="22" t="str">
        <f t="shared" si="149"/>
        <v/>
      </c>
    </row>
    <row r="693" spans="7:23" x14ac:dyDescent="0.25">
      <c r="G693" s="12" t="str">
        <f t="shared" si="160"/>
        <v/>
      </c>
      <c r="H693" s="12" t="str">
        <f t="shared" si="151"/>
        <v/>
      </c>
      <c r="I693" s="12" t="str">
        <f t="shared" si="152"/>
        <v/>
      </c>
      <c r="J693" s="12" t="str">
        <f t="shared" si="153"/>
        <v/>
      </c>
      <c r="K693" s="12" t="str">
        <f t="shared" si="154"/>
        <v/>
      </c>
      <c r="L693" s="12" t="str">
        <f t="shared" si="155"/>
        <v/>
      </c>
      <c r="M693" s="12" t="str">
        <f t="shared" si="156"/>
        <v/>
      </c>
      <c r="N693" s="12" t="str">
        <f t="shared" si="157"/>
        <v/>
      </c>
      <c r="O693" s="12" t="str">
        <f t="shared" si="158"/>
        <v/>
      </c>
      <c r="P693" s="12" t="str">
        <f t="shared" si="159"/>
        <v/>
      </c>
      <c r="Q693" s="12" t="e">
        <f t="shared" si="162"/>
        <v>#VALUE!</v>
      </c>
      <c r="R693" s="39" t="str">
        <f t="shared" si="161"/>
        <v/>
      </c>
      <c r="V693" s="12" t="str">
        <f t="shared" si="150"/>
        <v/>
      </c>
      <c r="W693" s="22" t="str">
        <f t="shared" si="149"/>
        <v/>
      </c>
    </row>
    <row r="694" spans="7:23" x14ac:dyDescent="0.25">
      <c r="G694" s="12" t="str">
        <f t="shared" si="160"/>
        <v/>
      </c>
      <c r="H694" s="12" t="str">
        <f t="shared" si="151"/>
        <v/>
      </c>
      <c r="I694" s="12" t="str">
        <f t="shared" si="152"/>
        <v/>
      </c>
      <c r="J694" s="12" t="str">
        <f t="shared" si="153"/>
        <v/>
      </c>
      <c r="K694" s="12" t="str">
        <f t="shared" si="154"/>
        <v/>
      </c>
      <c r="L694" s="12" t="str">
        <f t="shared" si="155"/>
        <v/>
      </c>
      <c r="M694" s="12" t="str">
        <f t="shared" si="156"/>
        <v/>
      </c>
      <c r="N694" s="12" t="str">
        <f t="shared" si="157"/>
        <v/>
      </c>
      <c r="O694" s="12" t="str">
        <f t="shared" si="158"/>
        <v/>
      </c>
      <c r="P694" s="12" t="str">
        <f t="shared" si="159"/>
        <v/>
      </c>
      <c r="Q694" s="12" t="e">
        <f t="shared" si="162"/>
        <v>#VALUE!</v>
      </c>
      <c r="R694" s="39" t="str">
        <f t="shared" si="161"/>
        <v/>
      </c>
      <c r="V694" s="12" t="str">
        <f t="shared" si="150"/>
        <v/>
      </c>
      <c r="W694" s="22" t="str">
        <f t="shared" ref="W694:W707" si="163">_xlfn.IFS(V694="","",SECOND(V694)&lt;10,"",  (HOUR(V694)*3600+MINUTE(V694)*60+SECOND(V694))&gt;60,"", (HOUR(V694)*3600+MINUTE(V694)*60+SECOND(V694))&lt;60, HOUR(V694)*3600+MINUTE(V694)*60+SECOND(V694))</f>
        <v/>
      </c>
    </row>
    <row r="695" spans="7:23" x14ac:dyDescent="0.25">
      <c r="G695" s="12" t="str">
        <f t="shared" si="160"/>
        <v/>
      </c>
      <c r="H695" s="12" t="str">
        <f t="shared" si="151"/>
        <v/>
      </c>
      <c r="I695" s="12" t="str">
        <f t="shared" si="152"/>
        <v/>
      </c>
      <c r="J695" s="12" t="str">
        <f t="shared" si="153"/>
        <v/>
      </c>
      <c r="K695" s="12" t="str">
        <f t="shared" si="154"/>
        <v/>
      </c>
      <c r="L695" s="12" t="str">
        <f t="shared" si="155"/>
        <v/>
      </c>
      <c r="M695" s="12" t="str">
        <f t="shared" si="156"/>
        <v/>
      </c>
      <c r="N695" s="12" t="str">
        <f t="shared" si="157"/>
        <v/>
      </c>
      <c r="O695" s="12" t="str">
        <f t="shared" si="158"/>
        <v/>
      </c>
      <c r="P695" s="12" t="str">
        <f t="shared" si="159"/>
        <v/>
      </c>
      <c r="Q695" s="12" t="e">
        <f t="shared" si="162"/>
        <v>#VALUE!</v>
      </c>
      <c r="R695" s="39" t="str">
        <f t="shared" si="161"/>
        <v/>
      </c>
      <c r="V695" s="12" t="str">
        <f t="shared" si="150"/>
        <v/>
      </c>
      <c r="W695" s="22" t="str">
        <f t="shared" si="163"/>
        <v/>
      </c>
    </row>
    <row r="696" spans="7:23" x14ac:dyDescent="0.25">
      <c r="G696" s="12" t="str">
        <f t="shared" si="160"/>
        <v/>
      </c>
      <c r="H696" s="12" t="str">
        <f t="shared" si="151"/>
        <v/>
      </c>
      <c r="I696" s="12" t="str">
        <f t="shared" si="152"/>
        <v/>
      </c>
      <c r="J696" s="12" t="str">
        <f t="shared" si="153"/>
        <v/>
      </c>
      <c r="K696" s="12" t="str">
        <f t="shared" si="154"/>
        <v/>
      </c>
      <c r="L696" s="12" t="str">
        <f t="shared" si="155"/>
        <v/>
      </c>
      <c r="M696" s="12" t="str">
        <f t="shared" si="156"/>
        <v/>
      </c>
      <c r="N696" s="12" t="str">
        <f t="shared" si="157"/>
        <v/>
      </c>
      <c r="O696" s="12" t="str">
        <f t="shared" si="158"/>
        <v/>
      </c>
      <c r="P696" s="12" t="str">
        <f t="shared" si="159"/>
        <v/>
      </c>
      <c r="Q696" s="12" t="e">
        <f t="shared" si="162"/>
        <v>#VALUE!</v>
      </c>
      <c r="R696" s="39" t="str">
        <f t="shared" si="161"/>
        <v/>
      </c>
      <c r="V696" s="12" t="str">
        <f t="shared" si="150"/>
        <v/>
      </c>
      <c r="W696" s="22" t="str">
        <f t="shared" si="163"/>
        <v/>
      </c>
    </row>
    <row r="697" spans="7:23" x14ac:dyDescent="0.25">
      <c r="G697" s="12" t="str">
        <f t="shared" si="160"/>
        <v/>
      </c>
      <c r="H697" s="12" t="str">
        <f t="shared" si="151"/>
        <v/>
      </c>
      <c r="I697" s="12" t="str">
        <f t="shared" si="152"/>
        <v/>
      </c>
      <c r="J697" s="12" t="str">
        <f t="shared" si="153"/>
        <v/>
      </c>
      <c r="K697" s="12" t="str">
        <f t="shared" si="154"/>
        <v/>
      </c>
      <c r="L697" s="12" t="str">
        <f t="shared" si="155"/>
        <v/>
      </c>
      <c r="M697" s="12" t="str">
        <f t="shared" si="156"/>
        <v/>
      </c>
      <c r="N697" s="12" t="str">
        <f t="shared" si="157"/>
        <v/>
      </c>
      <c r="O697" s="12" t="str">
        <f t="shared" si="158"/>
        <v/>
      </c>
      <c r="P697" s="12" t="str">
        <f t="shared" si="159"/>
        <v/>
      </c>
      <c r="Q697" s="12" t="e">
        <f t="shared" si="162"/>
        <v>#VALUE!</v>
      </c>
      <c r="R697" s="39" t="str">
        <f t="shared" si="161"/>
        <v/>
      </c>
      <c r="V697" s="12" t="str">
        <f t="shared" si="150"/>
        <v/>
      </c>
      <c r="W697" s="22" t="str">
        <f t="shared" si="163"/>
        <v/>
      </c>
    </row>
    <row r="698" spans="7:23" x14ac:dyDescent="0.25">
      <c r="G698" s="12" t="str">
        <f t="shared" si="160"/>
        <v/>
      </c>
      <c r="H698" s="12" t="str">
        <f t="shared" si="151"/>
        <v/>
      </c>
      <c r="I698" s="12" t="str">
        <f t="shared" si="152"/>
        <v/>
      </c>
      <c r="J698" s="12" t="str">
        <f t="shared" si="153"/>
        <v/>
      </c>
      <c r="K698" s="12" t="str">
        <f t="shared" si="154"/>
        <v/>
      </c>
      <c r="L698" s="12" t="str">
        <f t="shared" si="155"/>
        <v/>
      </c>
      <c r="M698" s="12" t="str">
        <f t="shared" si="156"/>
        <v/>
      </c>
      <c r="N698" s="12" t="str">
        <f t="shared" si="157"/>
        <v/>
      </c>
      <c r="O698" s="12" t="str">
        <f t="shared" si="158"/>
        <v/>
      </c>
      <c r="P698" s="12" t="str">
        <f t="shared" si="159"/>
        <v/>
      </c>
      <c r="Q698" s="12" t="e">
        <f t="shared" si="162"/>
        <v>#VALUE!</v>
      </c>
      <c r="R698" s="39" t="str">
        <f t="shared" si="161"/>
        <v/>
      </c>
      <c r="V698" s="12" t="str">
        <f t="shared" si="150"/>
        <v/>
      </c>
      <c r="W698" s="22" t="str">
        <f t="shared" si="163"/>
        <v/>
      </c>
    </row>
    <row r="699" spans="7:23" x14ac:dyDescent="0.25">
      <c r="G699" s="12" t="str">
        <f t="shared" si="160"/>
        <v/>
      </c>
      <c r="H699" s="12" t="str">
        <f t="shared" si="151"/>
        <v/>
      </c>
      <c r="I699" s="12" t="str">
        <f t="shared" si="152"/>
        <v/>
      </c>
      <c r="J699" s="12" t="str">
        <f t="shared" si="153"/>
        <v/>
      </c>
      <c r="K699" s="12" t="str">
        <f t="shared" si="154"/>
        <v/>
      </c>
      <c r="L699" s="12" t="str">
        <f t="shared" si="155"/>
        <v/>
      </c>
      <c r="M699" s="12" t="str">
        <f t="shared" si="156"/>
        <v/>
      </c>
      <c r="N699" s="12" t="str">
        <f t="shared" si="157"/>
        <v/>
      </c>
      <c r="O699" s="12" t="str">
        <f t="shared" si="158"/>
        <v/>
      </c>
      <c r="P699" s="12" t="str">
        <f t="shared" si="159"/>
        <v/>
      </c>
      <c r="Q699" s="12" t="e">
        <f t="shared" si="162"/>
        <v>#VALUE!</v>
      </c>
      <c r="R699" s="39" t="str">
        <f t="shared" si="161"/>
        <v/>
      </c>
      <c r="V699" s="12" t="str">
        <f t="shared" si="150"/>
        <v/>
      </c>
      <c r="W699" s="22" t="str">
        <f t="shared" si="163"/>
        <v/>
      </c>
    </row>
    <row r="700" spans="7:23" x14ac:dyDescent="0.25">
      <c r="G700" s="12" t="str">
        <f t="shared" si="160"/>
        <v/>
      </c>
      <c r="H700" s="12" t="str">
        <f t="shared" si="151"/>
        <v/>
      </c>
      <c r="I700" s="12" t="str">
        <f t="shared" si="152"/>
        <v/>
      </c>
      <c r="J700" s="12" t="str">
        <f t="shared" si="153"/>
        <v/>
      </c>
      <c r="K700" s="12" t="str">
        <f t="shared" si="154"/>
        <v/>
      </c>
      <c r="L700" s="12" t="str">
        <f t="shared" si="155"/>
        <v/>
      </c>
      <c r="M700" s="12" t="str">
        <f t="shared" si="156"/>
        <v/>
      </c>
      <c r="N700" s="12" t="str">
        <f t="shared" si="157"/>
        <v/>
      </c>
      <c r="O700" s="12" t="str">
        <f t="shared" si="158"/>
        <v/>
      </c>
      <c r="P700" s="12" t="str">
        <f t="shared" si="159"/>
        <v/>
      </c>
      <c r="Q700" s="12" t="e">
        <f t="shared" si="162"/>
        <v>#VALUE!</v>
      </c>
      <c r="R700" s="39" t="str">
        <f t="shared" si="161"/>
        <v/>
      </c>
      <c r="V700" s="12" t="str">
        <f t="shared" si="150"/>
        <v/>
      </c>
      <c r="W700" s="22" t="str">
        <f t="shared" si="163"/>
        <v/>
      </c>
    </row>
    <row r="701" spans="7:23" x14ac:dyDescent="0.25">
      <c r="G701" s="12" t="str">
        <f t="shared" si="160"/>
        <v/>
      </c>
      <c r="H701" s="12" t="str">
        <f t="shared" si="151"/>
        <v/>
      </c>
      <c r="I701" s="12" t="str">
        <f t="shared" si="152"/>
        <v/>
      </c>
      <c r="J701" s="12" t="str">
        <f t="shared" si="153"/>
        <v/>
      </c>
      <c r="K701" s="12" t="str">
        <f t="shared" si="154"/>
        <v/>
      </c>
      <c r="L701" s="12" t="str">
        <f t="shared" si="155"/>
        <v/>
      </c>
      <c r="M701" s="12" t="str">
        <f t="shared" si="156"/>
        <v/>
      </c>
      <c r="N701" s="12" t="str">
        <f t="shared" si="157"/>
        <v/>
      </c>
      <c r="O701" s="12" t="str">
        <f t="shared" si="158"/>
        <v/>
      </c>
      <c r="P701" s="12" t="str">
        <f t="shared" si="159"/>
        <v/>
      </c>
      <c r="Q701" s="12" t="e">
        <f t="shared" si="162"/>
        <v>#VALUE!</v>
      </c>
      <c r="R701" s="39" t="str">
        <f t="shared" si="161"/>
        <v/>
      </c>
      <c r="V701" s="12" t="str">
        <f t="shared" si="150"/>
        <v/>
      </c>
      <c r="W701" s="22" t="str">
        <f t="shared" si="163"/>
        <v/>
      </c>
    </row>
    <row r="702" spans="7:23" x14ac:dyDescent="0.25">
      <c r="G702" s="12" t="str">
        <f t="shared" si="160"/>
        <v/>
      </c>
      <c r="H702" s="12" t="str">
        <f>IFERROR(IF(E702=1,Q702,""),"")</f>
        <v/>
      </c>
      <c r="I702" s="12" t="str">
        <f t="shared" si="152"/>
        <v/>
      </c>
      <c r="J702" s="12" t="str">
        <f t="shared" si="153"/>
        <v/>
      </c>
      <c r="K702" s="12" t="str">
        <f t="shared" si="154"/>
        <v/>
      </c>
      <c r="L702" s="12" t="str">
        <f t="shared" si="155"/>
        <v/>
      </c>
      <c r="M702" s="12" t="str">
        <f t="shared" si="156"/>
        <v/>
      </c>
      <c r="N702" s="12" t="str">
        <f t="shared" si="157"/>
        <v/>
      </c>
      <c r="O702" s="12" t="str">
        <f t="shared" si="158"/>
        <v/>
      </c>
      <c r="P702" s="12" t="str">
        <f t="shared" si="159"/>
        <v/>
      </c>
      <c r="Q702" s="12" t="e">
        <f t="shared" si="162"/>
        <v>#VALUE!</v>
      </c>
      <c r="R702" s="39" t="str">
        <f t="shared" si="161"/>
        <v/>
      </c>
      <c r="V702" s="12" t="str">
        <f t="shared" si="150"/>
        <v/>
      </c>
      <c r="W702" s="22" t="str">
        <f t="shared" si="163"/>
        <v/>
      </c>
    </row>
    <row r="703" spans="7:23" x14ac:dyDescent="0.25">
      <c r="G703" s="12" t="str">
        <f t="shared" si="160"/>
        <v/>
      </c>
      <c r="H703" s="12" t="str">
        <f t="shared" si="151"/>
        <v/>
      </c>
      <c r="I703" s="12" t="str">
        <f t="shared" si="152"/>
        <v/>
      </c>
      <c r="J703" s="12" t="str">
        <f t="shared" si="153"/>
        <v/>
      </c>
      <c r="K703" s="12" t="str">
        <f t="shared" si="154"/>
        <v/>
      </c>
      <c r="L703" s="12" t="str">
        <f t="shared" si="155"/>
        <v/>
      </c>
      <c r="M703" s="12" t="str">
        <f t="shared" si="156"/>
        <v/>
      </c>
      <c r="N703" s="12" t="str">
        <f t="shared" si="157"/>
        <v/>
      </c>
      <c r="O703" s="12" t="str">
        <f t="shared" si="158"/>
        <v/>
      </c>
      <c r="P703" s="12" t="str">
        <f t="shared" si="159"/>
        <v/>
      </c>
      <c r="Q703" s="12" t="e">
        <f t="shared" si="162"/>
        <v>#VALUE!</v>
      </c>
      <c r="R703" s="39" t="str">
        <f t="shared" si="161"/>
        <v/>
      </c>
      <c r="V703" s="12" t="str">
        <f t="shared" si="150"/>
        <v/>
      </c>
      <c r="W703" s="22" t="str">
        <f t="shared" si="163"/>
        <v/>
      </c>
    </row>
    <row r="704" spans="7:23" x14ac:dyDescent="0.25">
      <c r="G704" s="12" t="str">
        <f t="shared" si="160"/>
        <v/>
      </c>
      <c r="H704" s="12" t="str">
        <f t="shared" si="151"/>
        <v/>
      </c>
      <c r="I704" s="12" t="str">
        <f t="shared" si="152"/>
        <v/>
      </c>
      <c r="J704" s="12" t="str">
        <f t="shared" si="153"/>
        <v/>
      </c>
      <c r="K704" s="12" t="str">
        <f t="shared" si="154"/>
        <v/>
      </c>
      <c r="L704" s="12" t="str">
        <f t="shared" si="155"/>
        <v/>
      </c>
      <c r="M704" s="12" t="str">
        <f t="shared" si="156"/>
        <v/>
      </c>
      <c r="N704" s="12" t="str">
        <f t="shared" si="157"/>
        <v/>
      </c>
      <c r="O704" s="12" t="str">
        <f t="shared" si="158"/>
        <v/>
      </c>
      <c r="P704" s="12" t="str">
        <f t="shared" si="159"/>
        <v/>
      </c>
      <c r="Q704" s="12" t="e">
        <f t="shared" si="162"/>
        <v>#VALUE!</v>
      </c>
      <c r="R704" s="39" t="str">
        <f t="shared" si="161"/>
        <v/>
      </c>
      <c r="V704" s="12" t="str">
        <f t="shared" si="150"/>
        <v/>
      </c>
      <c r="W704" s="22" t="str">
        <f t="shared" si="163"/>
        <v/>
      </c>
    </row>
    <row r="705" spans="7:23" x14ac:dyDescent="0.25">
      <c r="G705" s="12" t="str">
        <f t="shared" si="160"/>
        <v/>
      </c>
      <c r="H705" s="12" t="str">
        <f t="shared" si="151"/>
        <v/>
      </c>
      <c r="I705" s="12" t="str">
        <f t="shared" si="152"/>
        <v/>
      </c>
      <c r="J705" s="12" t="str">
        <f t="shared" si="153"/>
        <v/>
      </c>
      <c r="K705" s="12" t="str">
        <f t="shared" si="154"/>
        <v/>
      </c>
      <c r="L705" s="12" t="str">
        <f t="shared" si="155"/>
        <v/>
      </c>
      <c r="M705" s="12" t="str">
        <f t="shared" si="156"/>
        <v/>
      </c>
      <c r="N705" s="12" t="str">
        <f t="shared" si="157"/>
        <v/>
      </c>
      <c r="O705" s="12" t="str">
        <f t="shared" si="158"/>
        <v/>
      </c>
      <c r="P705" s="12" t="str">
        <f t="shared" si="159"/>
        <v/>
      </c>
      <c r="Q705" s="12" t="e">
        <f t="shared" si="162"/>
        <v>#VALUE!</v>
      </c>
      <c r="R705" s="39" t="str">
        <f t="shared" si="161"/>
        <v/>
      </c>
      <c r="V705" s="12" t="str">
        <f t="shared" si="150"/>
        <v/>
      </c>
      <c r="W705" s="22" t="str">
        <f t="shared" si="163"/>
        <v/>
      </c>
    </row>
    <row r="706" spans="7:23" x14ac:dyDescent="0.25">
      <c r="G706" s="12" t="str">
        <f t="shared" si="160"/>
        <v/>
      </c>
      <c r="H706" s="12" t="str">
        <f t="shared" si="151"/>
        <v/>
      </c>
      <c r="I706" s="12" t="str">
        <f t="shared" si="152"/>
        <v/>
      </c>
      <c r="J706" s="12" t="str">
        <f t="shared" si="153"/>
        <v/>
      </c>
      <c r="K706" s="12" t="str">
        <f t="shared" si="154"/>
        <v/>
      </c>
      <c r="L706" s="12" t="str">
        <f t="shared" si="155"/>
        <v/>
      </c>
      <c r="M706" s="12" t="str">
        <f t="shared" si="156"/>
        <v/>
      </c>
      <c r="N706" s="12" t="str">
        <f t="shared" si="157"/>
        <v/>
      </c>
      <c r="O706" s="12" t="str">
        <f t="shared" si="158"/>
        <v/>
      </c>
      <c r="P706" s="12" t="str">
        <f t="shared" si="159"/>
        <v/>
      </c>
      <c r="Q706" s="12" t="e">
        <f t="shared" si="162"/>
        <v>#VALUE!</v>
      </c>
      <c r="R706" s="39" t="str">
        <f t="shared" si="161"/>
        <v/>
      </c>
      <c r="V706" s="12" t="str">
        <f t="shared" si="150"/>
        <v/>
      </c>
      <c r="W706" s="22" t="str">
        <f t="shared" si="163"/>
        <v/>
      </c>
    </row>
    <row r="707" spans="7:23" x14ac:dyDescent="0.25">
      <c r="G707" s="12" t="str">
        <f t="shared" si="160"/>
        <v/>
      </c>
      <c r="H707" s="12" t="str">
        <f t="shared" si="151"/>
        <v/>
      </c>
      <c r="I707" s="12" t="str">
        <f t="shared" si="152"/>
        <v/>
      </c>
      <c r="J707" s="12" t="str">
        <f t="shared" si="153"/>
        <v/>
      </c>
      <c r="K707" s="12" t="str">
        <f t="shared" si="154"/>
        <v/>
      </c>
      <c r="L707" s="12" t="str">
        <f t="shared" si="155"/>
        <v/>
      </c>
      <c r="M707" s="12" t="str">
        <f t="shared" si="156"/>
        <v/>
      </c>
      <c r="N707" s="12" t="str">
        <f t="shared" si="157"/>
        <v/>
      </c>
      <c r="O707" s="12" t="str">
        <f t="shared" si="158"/>
        <v/>
      </c>
      <c r="P707" s="12" t="str">
        <f t="shared" si="159"/>
        <v/>
      </c>
      <c r="Q707" s="12" t="e">
        <f t="shared" si="162"/>
        <v>#VALUE!</v>
      </c>
      <c r="R707" s="39" t="str">
        <f t="shared" si="161"/>
        <v/>
      </c>
      <c r="V707" s="12" t="str">
        <f t="shared" si="150"/>
        <v/>
      </c>
      <c r="W707" s="22" t="str">
        <f t="shared" si="163"/>
        <v/>
      </c>
    </row>
  </sheetData>
  <mergeCells count="16">
    <mergeCell ref="A15:E15"/>
    <mergeCell ref="A9:G9"/>
    <mergeCell ref="A13:A14"/>
    <mergeCell ref="B13:B14"/>
    <mergeCell ref="C13:C14"/>
    <mergeCell ref="D13:D14"/>
    <mergeCell ref="E13:E14"/>
    <mergeCell ref="F13:F14"/>
    <mergeCell ref="G13:G14"/>
    <mergeCell ref="G6:G7"/>
    <mergeCell ref="A8:E8"/>
    <mergeCell ref="A6:B7"/>
    <mergeCell ref="C6:C7"/>
    <mergeCell ref="D6:D7"/>
    <mergeCell ref="E6:E7"/>
    <mergeCell ref="F6:F8"/>
  </mergeCells>
  <pageMargins left="0.70866141732283472" right="0.70866141732283472" top="0.74803149606299213" bottom="0.74803149606299213" header="0.31496062992125984" footer="0.31496062992125984"/>
  <pageSetup paperSize="9" scale="70" fitToHeight="0" orientation="portrait" r:id="rId1"/>
  <headerFooter>
    <oddFooter>&amp;R&amp;P</oddFooter>
  </headerFooter>
  <rowBreaks count="4" manualBreakCount="4">
    <brk id="56" max="15" man="1"/>
    <brk id="105" max="15" man="1"/>
    <brk id="176" max="15" man="1"/>
    <brk id="245" max="15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395</vt:lpstr>
      <vt:lpstr>'395'!Область_печати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Gelikhov</dc:creator>
  <cp:lastModifiedBy>Aleksandr Spiridonov</cp:lastModifiedBy>
  <cp:lastPrinted>2017-10-06T09:04:04Z</cp:lastPrinted>
  <dcterms:created xsi:type="dcterms:W3CDTF">2017-10-05T02:25:30Z</dcterms:created>
  <dcterms:modified xsi:type="dcterms:W3CDTF">2022-01-11T10:02:46Z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qp" linkTarget="Prop_eqp">
    <vt:lpwstr>#ССЫЛКА!</vt:lpwstr>
  </property>
  <property fmtid="{D5CDD505-2E9C-101B-9397-08002B2CF9AE}" pid="3" name="fuel" linkTarget="Prop_fuel">
    <vt:lpwstr>#ССЫЛКА!</vt:lpwstr>
  </property>
  <property fmtid="{D5CDD505-2E9C-101B-9397-08002B2CF9AE}" pid="4" name="Oper" linkTarget="Prop_Oper">
    <vt:lpwstr>#ССЫЛКА!</vt:lpwstr>
  </property>
  <property fmtid="{D5CDD505-2E9C-101B-9397-08002B2CF9AE}" pid="5" name="RM" linkTarget="Prop_RM">
    <vt:lpwstr>#ССЫЛКА!</vt:lpwstr>
  </property>
  <property fmtid="{D5CDD505-2E9C-101B-9397-08002B2CF9AE}" pid="6" name="wheel" linkTarget="Prop_wheel">
    <vt:lpwstr>#ССЫЛКА!</vt:lpwstr>
  </property>
</Properties>
</file>